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2" activeTab="5"/>
  </bookViews>
  <sheets>
    <sheet name="Tổng hợp điểm" sheetId="1" r:id="rId1"/>
    <sheet name="Điểm buổi thực hành các buổi" sheetId="2" r:id="rId2"/>
    <sheet name="Điểm bài tập lớn" sheetId="3" r:id="rId3"/>
    <sheet name="Điểm lý thuyết" sheetId="4" r:id="rId4"/>
    <sheet name="Các tham số &amp; Thống kê" sheetId="5" r:id="rId5"/>
    <sheet name="Sinh viên điểm &lt;7" sheetId="6" r:id="rId6"/>
    <sheet name="Sinh viên điểm &gt;7" sheetId="7" r:id="rId7"/>
  </sheets>
  <definedNames>
    <definedName name="_xlnm._FilterDatabase" localSheetId="5" hidden="1">'Sinh viên điểm &lt;7'!$A$1:$K$15</definedName>
    <definedName name="_xlnm._FilterDatabase" localSheetId="6" hidden="1">'Sinh viên điểm &gt;7'!$A$1:$K$15</definedName>
    <definedName name="_xlnm._FilterDatabase" localSheetId="0" hidden="1">'Tổng hợp điểm'!$A$6:$K$20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<sst xmlns="http://schemas.openxmlformats.org/spreadsheetml/2006/main" count="247" uniqueCount="93">
  <si>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</si>
  <si>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</si>
  <si>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</si>
  <si>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</si>
  <si>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</si>
  <si>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</si>
  <si>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</si>
  <si>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</si>
  <si>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</si>
  <si>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</si>
  <si>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
T
T</t>
  </si>
  <si>
    <t xml:space="preserve">Mã SV </t>
  </si>
  <si>
    <t>Họ và Tên</t>
  </si>
  <si>
    <t>Điểm TH 1</t>
  </si>
  <si>
    <t>Điểm TH 2</t>
  </si>
  <si>
    <t>Điểm TH 3</t>
  </si>
  <si>
    <t>Điểm
BT
lớn</t>
  </si>
  <si>
    <t>Điểm
LT</t>
  </si>
  <si>
    <t>Điểm
tổng</t>
  </si>
  <si>
    <t>Điểm 
theo
thang
điểm
10</t>
  </si>
  <si>
    <t>Điểm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</si>
  <si>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</si>
  <si>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</si>
  <si>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</si>
  <si>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</si>
  <si>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</si>
  <si>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</si>
  <si>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</si>
  <si>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</si>
  <si>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</si>
  <si>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</si>
  <si>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</si>
  <si>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</si>
  <si>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</si>
  <si>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</si>
  <si>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buổi thực hành các buổi</t>
  </si>
  <si>
    <t>STT</t>
  </si>
  <si>
    <t>Mã SV</t>
  </si>
  <si>
    <t>Họ và tên</t>
  </si>
  <si>
    <t>Điểm TH1</t>
  </si>
  <si>
    <t>B1505719</t>
  </si>
  <si>
    <t>Nguyễn Văn Hiếu</t>
  </si>
  <si>
    <t>B1505915</t>
  </si>
  <si>
    <t xml:space="preserve">Lý Minh Trí 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</si>
  <si>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</si>
  <si>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</si>
  <si>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</si>
  <si>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</si>
  <si>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</si>
  <si>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</si>
  <si>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</si>
  <si>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</si>
  <si>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</si>
  <si>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</si>
  <si>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</si>
  <si>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</si>
  <si>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</si>
  <si>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</si>
  <si>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</si>
  <si>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</si>
  <si>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</si>
  <si>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</si>
  <si>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</si>
  <si>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</si>
  <si>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</si>
  <si>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</si>
  <si>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</si>
  <si>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</si>
  <si>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</si>
  <si>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</si>
  <si>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</si>
  <si>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Bảng quy đổi điểm</t>
  </si>
  <si>
    <t>Bảng Điểm Chuyên cần</t>
  </si>
  <si>
    <t>Điểm theo thang điểm 10</t>
  </si>
  <si>
    <t>Điểm chữ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</si>
  <si>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</si>
  <si>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</si>
  <si>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</si>
  <si>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</si>
  <si>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</si>
  <si>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</si>
  <si>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</si>
  <si>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</si>
  <si>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</si>
  <si>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</si>
  <si>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</si>
  <si>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</si>
  <si>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</si>
  <si>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
viên</t>
  </si>
  <si>
    <t>Lý Minh Trí</t>
  </si>
  <si>
    <t>Bảng thống kê SV</t>
  </si>
  <si>
    <t>Số sinh viên điểm BT lớn =0 hoặc điểm LT=-3</t>
  </si>
  <si>
    <t>Số SV nghỉ TH&gt;2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</si>
</sst>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Thống kê tổng số lượng sinhviên theo điểm chữ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5941609679116"/>
          <c:y val="0.365972222222222"/>
          <c:w val="0.331273014203051"/>
          <c:h val="0.583101851851852"/>
        </c:manualLayout>
      </c:layout>
      <c:pieChart>
        <c:varyColors val="1"/>
        <c:ser>
          <c:idx val="0"/>
          <c:order val="0"/>
          <c:tx>
            <c:strRef>
              <c:f>'Các tham số &amp; Thống kê'!$F$13</c:f>
              <c:strCache>
                <c:ptCount val="1"/>
                <c:pt idx="0">
                  <c:v>Số lượng sinh
viên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155819023016385"/>
                  <c:y val="0.11414867226636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2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196459689323241"/>
                  <c:y val="0.20451935582467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13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94861919020823"/>
                  <c:y val="0.093140776914458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</a:t>
                    </a:r>
                    <a:r>
                      <a:rPr lang="vi-VN" altLang="en-US"/>
                      <a:t>8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</a:t>
                    </a:r>
                    <a:r>
                      <a:rPr lang="vi-VN" altLang="en-US"/>
                      <a:t>5</a:t>
                    </a:r>
                    <a:r>
                      <a:t>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23</a:t>
                    </a:r>
                    <a:r>
                      <a:t>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0675828640494114"/>
                  <c:y val="-0.0068780122081570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3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123227073771766"/>
                  <c:y val="0.12081197430695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vi-VN" altLang="en-US"/>
                      <a:t>3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564013191696566"/>
                  <c:y val="0.1355352574581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2</a:t>
                    </a:r>
                    <a:r>
                      <a:rPr lang="vi-VN" altLang="en-US"/>
                      <a:t>3</a:t>
                    </a:r>
                    <a:r>
                      <a:t>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'Các tham số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tham số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11678064176749"/>
          <c:y val="0.208796296296296"/>
          <c:w val="0.0765386638611257"/>
          <c:h val="0.6319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5cdbb1-ea1d-499a-904e-629c5bfeeb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1468120</xdr:colOff>
      <xdr:row>27</xdr:row>
      <xdr:rowOff>154940</xdr:rowOff>
    </xdr:from>
    <xdr:to>
      <xdr:col>12</xdr:col>
      <xdr:colOff>452120</xdr:colOff>
      <xdr:row>43</xdr:row>
      <xdr:rowOff>93980</xdr:rowOff>
    </xdr:to>
    <xdr:graphicFrame>
      <xdr:nvGraphicFramePr>
        <xdr:cNvPr id="3" name="Chart 2"/>
        <xdr:cNvGraphicFramePr/>
      </xdr:nvGraphicFramePr>
      <xdr:xfrm>
        <a:off x="8165465" y="5062220"/>
        <a:ext cx="4828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pane ySplit="6" topLeftCell="A7" activePane="bottomLeft" state="frozen"/>
      <selection/>
      <selection pane="bottomLeft" activeCell="E24" sqref="E24"/>
    </sheetView>
  </sheetViews>
  <sheetFormatPr defaultColWidth="9" defaultRowHeight="13.8"/>
  <cols>
    <col min="2" max="2" width="10.6" customWidth="1"/>
    <col min="3" max="3" width="20.2" customWidth="1"/>
    <col min="4" max="4" width="11.5583333333333" customWidth="1"/>
    <col min="5" max="5" width="13" customWidth="1"/>
    <col min="6" max="6" width="12.1083333333333" customWidth="1"/>
  </cols>
  <sheetData>
    <row r="1" spans="1:11">
      <c r="A1" s="17"/>
      <c r="B1" s="18" t="s">
        <v>0</v>
      </c>
      <c r="C1" s="19"/>
      <c r="D1" s="19"/>
      <c r="E1" s="19"/>
      <c r="F1" s="19"/>
      <c r="G1" s="19"/>
      <c r="H1" s="19"/>
      <c r="I1" s="20"/>
      <c r="J1" s="17"/>
      <c r="K1" s="17"/>
    </row>
    <row r="2" spans="1:11">
      <c r="A2" s="17"/>
      <c r="B2" s="3" t="s">
        <v>1</v>
      </c>
      <c r="C2" s="3">
        <v>1043</v>
      </c>
      <c r="D2" s="3" t="s">
        <v>2</v>
      </c>
      <c r="E2" s="3"/>
      <c r="F2" s="3" t="s">
        <v>3</v>
      </c>
      <c r="G2" s="3"/>
      <c r="H2" s="3"/>
      <c r="I2" s="3"/>
      <c r="J2" s="17"/>
      <c r="K2" s="17"/>
    </row>
    <row r="3" spans="1:11">
      <c r="A3" s="17"/>
      <c r="B3" s="3" t="s">
        <v>4</v>
      </c>
      <c r="C3" s="3" t="s">
        <v>5</v>
      </c>
      <c r="D3" s="3" t="s">
        <v>6</v>
      </c>
      <c r="E3" s="3"/>
      <c r="F3" s="21">
        <v>8</v>
      </c>
      <c r="G3" s="22"/>
      <c r="H3" s="22"/>
      <c r="I3" s="23"/>
      <c r="J3" s="17"/>
      <c r="K3" s="17"/>
    </row>
    <row r="4" spans="1:11">
      <c r="A4" s="17"/>
      <c r="B4" s="3" t="s">
        <v>7</v>
      </c>
      <c r="C4" s="3" t="s">
        <v>8</v>
      </c>
      <c r="D4" s="3" t="s">
        <v>9</v>
      </c>
      <c r="E4" s="3"/>
      <c r="F4" s="21">
        <v>1</v>
      </c>
      <c r="G4" s="22"/>
      <c r="H4" s="22"/>
      <c r="I4" s="23"/>
      <c r="J4" s="17"/>
      <c r="K4" s="17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="16" customFormat="1" ht="69" spans="1:11">
      <c r="A6" s="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="16" customFormat="1" spans="1:11">
      <c r="A7" s="3">
        <v>1</v>
      </c>
      <c r="B7" s="3" t="s">
        <v>21</v>
      </c>
      <c r="C7" s="3" t="str">
        <f>VLOOKUP(RIGHT(B7,8),'Các tham số &amp; Thống kê'!$B$14:$C$27,2,FALSE)</f>
        <v>Nguyễn Văn Hiếu</v>
      </c>
      <c r="D7" s="4">
        <f>VLOOKUP(RIGHT(B7,8),'Điểm buổi thực hành các buổi'!$B$3:$F$16,3,FALSE)</f>
        <v>0.45</v>
      </c>
      <c r="E7" s="3">
        <f>VLOOKUP(RIGHT(B7,8),'Điểm buổi thực hành các buổi'!$B$3:$F$16,4,FALSE)</f>
        <v>0.25</v>
      </c>
      <c r="F7" s="3">
        <f>VLOOKUP(RIGHT(B7,8),'Điểm buổi thực hành các buổi'!$B$3:$F$16,5,FALSE)</f>
        <v>0.3</v>
      </c>
      <c r="G7" s="3">
        <f>VLOOKUP(RIGHT(B7,8),'Điểm bài tập lớn'!$B$3:$D$16,3,FALSE)</f>
        <v>0.5</v>
      </c>
      <c r="H7" s="3">
        <f>VLOOKUP(RIGHT(B7,8),'Điểm lý thuyết'!$B$3:$D$16,3,FALSE)</f>
        <v>4.2</v>
      </c>
      <c r="I7" s="3">
        <f>ROUND(IF(H7=-3,0,D7+E7+F7+G7+0.6*H7),1)</f>
        <v>4</v>
      </c>
      <c r="J7" s="5">
        <f>ROUND(IF(OR(G7=0,VALUE(LEFT(B7,1))&gt;2),0,I7+VLOOKUP(VALUE(LEFT(B7,1)),'Các tham số &amp; Thống kê'!$E$3:$F$5,2,FALSE)),1)</f>
        <v>5</v>
      </c>
      <c r="K7" s="5" t="str">
        <f>VLOOKUP(J7,'Các tham số &amp; Thống kê'!$A$3:$B$10,2,TRUE)</f>
        <v>D+</v>
      </c>
    </row>
    <row r="8" s="16" customFormat="1" spans="1:11">
      <c r="A8" s="3">
        <v>2</v>
      </c>
      <c r="B8" s="3" t="s">
        <v>22</v>
      </c>
      <c r="C8" s="3" t="str">
        <f>VLOOKUP(RIGHT(B8,8),'Các tham số &amp; Thống kê'!$B$14:$C$27,2,FALSE)</f>
        <v>Lý Minh Trí</v>
      </c>
      <c r="D8" s="4">
        <f>VLOOKUP(RIGHT(B8,8),'Điểm buổi thực hành các buổi'!$B$3:$F$16,3,FALSE)</f>
        <v>0.5</v>
      </c>
      <c r="E8" s="3">
        <f>VLOOKUP(RIGHT(B8,8),'Điểm buổi thực hành các buổi'!$B$3:$F$16,4,FALSE)</f>
        <v>0.35</v>
      </c>
      <c r="F8" s="3">
        <f>VLOOKUP(RIGHT(B8,8),'Điểm buổi thực hành các buổi'!$B$3:$F$16,5,FALSE)</f>
        <v>0.4</v>
      </c>
      <c r="G8" s="3">
        <f>VLOOKUP(RIGHT(B8,8),'Điểm bài tập lớn'!$B$3:$D$16,3,FALSE)</f>
        <v>1</v>
      </c>
      <c r="H8" s="3">
        <f>VLOOKUP(RIGHT(B8,8),'Điểm lý thuyết'!$B$3:$D$16,3,FALSE)</f>
        <v>5.8</v>
      </c>
      <c r="I8" s="3">
        <f t="shared" ref="I8:I20" si="0">ROUND(IF(H8=-3,0,D8+E8+F8+G8+0.6*H8),1)</f>
        <v>5.7</v>
      </c>
      <c r="J8" s="5">
        <f>ROUND(IF(OR(G8=0,VALUE(LEFT(B8,1))&gt;2),0,I8+VLOOKUP(VALUE(LEFT(B8,1)),'Các tham số &amp; Thống kê'!$E$3:$F$5,2,FALSE)),1)</f>
        <v>6.2</v>
      </c>
      <c r="K8" s="5" t="str">
        <f>VLOOKUP(J8,'Các tham số &amp; Thống kê'!$A$3:$B$10,2,TRUE)</f>
        <v>C</v>
      </c>
    </row>
    <row r="9" s="16" customFormat="1" spans="1:11">
      <c r="A9" s="3">
        <v>3</v>
      </c>
      <c r="B9" s="3" t="s">
        <v>23</v>
      </c>
      <c r="C9" s="3" t="str">
        <f>VLOOKUP(RIGHT(B9,8),'Các tham số &amp; Thống kê'!$B$14:$C$27,2,FALSE)</f>
        <v>Nguyễn Kiều Mi</v>
      </c>
      <c r="D9" s="4">
        <f>VLOOKUP(RIGHT(B9,8),'Điểm buổi thực hành các buổi'!$B$3:$F$16,3,FALSE)</f>
        <v>0.25</v>
      </c>
      <c r="E9" s="3">
        <f>VLOOKUP(RIGHT(B9,8),'Điểm buổi thực hành các buổi'!$B$3:$F$16,4,FALSE)</f>
        <v>0.25</v>
      </c>
      <c r="F9" s="3">
        <f>VLOOKUP(RIGHT(B9,8),'Điểm buổi thực hành các buổi'!$B$3:$F$16,5,FALSE)</f>
        <v>0.3</v>
      </c>
      <c r="G9" s="3">
        <f>VLOOKUP(RIGHT(B9,8),'Điểm bài tập lớn'!$B$3:$D$16,3,FALSE)</f>
        <v>0.5</v>
      </c>
      <c r="H9" s="3">
        <f>VLOOKUP(RIGHT(B9,8),'Điểm lý thuyết'!$B$3:$D$16,3,FALSE)</f>
        <v>5.8</v>
      </c>
      <c r="I9" s="3">
        <f t="shared" si="0"/>
        <v>4.8</v>
      </c>
      <c r="J9" s="5">
        <f>ROUND(IF(OR(G9=0,VALUE(LEFT(B9,1))&gt;2),0,I9+VLOOKUP(VALUE(LEFT(B9,1)),'Các tham số &amp; Thống kê'!$E$3:$F$5,2,FALSE)),1)</f>
        <v>5.8</v>
      </c>
      <c r="K9" s="5" t="str">
        <f>VLOOKUP(J9,'Các tham số &amp; Thống kê'!$A$3:$B$10,2,TRUE)</f>
        <v>C</v>
      </c>
    </row>
    <row r="10" s="16" customFormat="1" spans="1:11">
      <c r="A10" s="3">
        <v>4</v>
      </c>
      <c r="B10" s="3" t="s">
        <v>24</v>
      </c>
      <c r="C10" s="3" t="str">
        <f>VLOOKUP(RIGHT(B10,8),'Các tham số &amp; Thống kê'!$B$14:$C$27,2,FALSE)</f>
        <v>Đặng Duy Linh</v>
      </c>
      <c r="D10" s="4">
        <f>VLOOKUP(RIGHT(B10,8),'Điểm buổi thực hành các buổi'!$B$3:$F$16,3,FALSE)</f>
        <v>0.4</v>
      </c>
      <c r="E10" s="3">
        <f>VLOOKUP(RIGHT(B10,8),'Điểm buổi thực hành các buổi'!$B$3:$F$16,4,FALSE)</f>
        <v>0.25</v>
      </c>
      <c r="F10" s="3">
        <f>VLOOKUP(RIGHT(B10,8),'Điểm buổi thực hành các buổi'!$B$3:$F$16,5,FALSE)</f>
        <v>0.35</v>
      </c>
      <c r="G10" s="3">
        <f>VLOOKUP(RIGHT(B10,8),'Điểm bài tập lớn'!$B$3:$D$16,3,FALSE)</f>
        <v>1</v>
      </c>
      <c r="H10" s="3">
        <f>VLOOKUP(RIGHT(B10,8),'Điểm lý thuyết'!$B$3:$D$16,3,FALSE)</f>
        <v>4.5</v>
      </c>
      <c r="I10" s="3">
        <f t="shared" si="0"/>
        <v>4.7</v>
      </c>
      <c r="J10" s="5">
        <f>ROUND(IF(OR(G10=0,VALUE(LEFT(B10,1))&gt;2),0,I10+VLOOKUP(VALUE(LEFT(B10,1)),'Các tham số &amp; Thống kê'!$E$3:$F$5,2,FALSE)),1)</f>
        <v>5.7</v>
      </c>
      <c r="K10" s="5" t="str">
        <f>VLOOKUP(J10,'Các tham số &amp; Thống kê'!$A$3:$B$10,2,TRUE)</f>
        <v>C</v>
      </c>
    </row>
    <row r="11" s="16" customFormat="1" spans="1:11">
      <c r="A11" s="3">
        <v>5</v>
      </c>
      <c r="B11" s="3" t="s">
        <v>25</v>
      </c>
      <c r="C11" s="3" t="str">
        <f>VLOOKUP(RIGHT(B11,8),'Các tham số &amp; Thống kê'!$B$14:$C$27,2,FALSE)</f>
        <v>Lê Thị Trúc Linh</v>
      </c>
      <c r="D11" s="4">
        <f>VLOOKUP(RIGHT(B11,8),'Điểm buổi thực hành các buổi'!$B$3:$F$16,3,FALSE)</f>
        <v>0.45</v>
      </c>
      <c r="E11" s="3">
        <f>VLOOKUP(RIGHT(B11,8),'Điểm buổi thực hành các buổi'!$B$3:$F$16,4,FALSE)</f>
        <v>0.4</v>
      </c>
      <c r="F11" s="3">
        <f>VLOOKUP(RIGHT(B11,8),'Điểm buổi thực hành các buổi'!$B$3:$F$16,5,FALSE)</f>
        <v>0.35</v>
      </c>
      <c r="G11" s="3">
        <f>VLOOKUP(RIGHT(B11,8),'Điểm bài tập lớn'!$B$3:$D$16,3,FALSE)</f>
        <v>0.75</v>
      </c>
      <c r="H11" s="3">
        <f>VLOOKUP(RIGHT(B11,8),'Điểm lý thuyết'!$B$3:$D$16,3,FALSE)</f>
        <v>5.5</v>
      </c>
      <c r="I11" s="3">
        <f t="shared" si="0"/>
        <v>5.3</v>
      </c>
      <c r="J11" s="5">
        <f>ROUND(IF(OR(G11=0,VALUE(LEFT(B11,1))&gt;2),0,I11+VLOOKUP(VALUE(LEFT(B11,1)),'Các tham số &amp; Thống kê'!$E$3:$F$5,2,FALSE)),1)</f>
        <v>5.6</v>
      </c>
      <c r="K11" s="5" t="str">
        <f>VLOOKUP(J11,'Các tham số &amp; Thống kê'!$A$3:$B$10,2,TRUE)</f>
        <v>C</v>
      </c>
    </row>
    <row r="12" s="16" customFormat="1" spans="1:11">
      <c r="A12" s="3">
        <v>6</v>
      </c>
      <c r="B12" s="3" t="s">
        <v>26</v>
      </c>
      <c r="C12" s="3" t="str">
        <f>VLOOKUP(RIGHT(B12,8),'Các tham số &amp; Thống kê'!$B$14:$C$27,2,FALSE)</f>
        <v>Phạm Thị Huỳnh</v>
      </c>
      <c r="D12" s="4">
        <f>VLOOKUP(RIGHT(B12,8),'Điểm buổi thực hành các buổi'!$B$3:$F$16,3,FALSE)</f>
        <v>0.4</v>
      </c>
      <c r="E12" s="3">
        <f>VLOOKUP(RIGHT(B12,8),'Điểm buổi thực hành các buổi'!$B$3:$F$16,4,FALSE)</f>
        <v>0.45</v>
      </c>
      <c r="F12" s="3">
        <f>VLOOKUP(RIGHT(B12,8),'Điểm buổi thực hành các buổi'!$B$3:$F$16,5,FALSE)</f>
        <v>0.5</v>
      </c>
      <c r="G12" s="3">
        <f>VLOOKUP(RIGHT(B12,8),'Điểm bài tập lớn'!$B$3:$D$16,3,FALSE)</f>
        <v>1.2</v>
      </c>
      <c r="H12" s="3">
        <f>VLOOKUP(RIGHT(B12,8),'Điểm lý thuyết'!$B$3:$D$16,3,FALSE)</f>
        <v>7.5</v>
      </c>
      <c r="I12" s="3">
        <f t="shared" si="0"/>
        <v>7.1</v>
      </c>
      <c r="J12" s="5">
        <f>ROUND(IF(OR(G12=0,VALUE(LEFT(B12,1))&gt;2),0,I12+VLOOKUP(VALUE(LEFT(B12,1)),'Các tham số &amp; Thống kê'!$E$3:$F$5,2,FALSE)),1)</f>
        <v>8.1</v>
      </c>
      <c r="K12" s="5" t="str">
        <f>VLOOKUP(J12,'Các tham số &amp; Thống kê'!$A$3:$B$10,2,TRUE)</f>
        <v>B+</v>
      </c>
    </row>
    <row r="13" s="16" customFormat="1" spans="1:11">
      <c r="A13" s="3">
        <v>7</v>
      </c>
      <c r="B13" s="3" t="s">
        <v>27</v>
      </c>
      <c r="C13" s="3" t="str">
        <f>VLOOKUP(RIGHT(B13,8),'Các tham số &amp; Thống kê'!$B$14:$C$27,2,FALSE)</f>
        <v>Lê Minh Thông</v>
      </c>
      <c r="D13" s="4">
        <f>VLOOKUP(RIGHT(B13,8),'Điểm buổi thực hành các buổi'!$B$3:$F$16,3,FALSE)</f>
        <v>0.4</v>
      </c>
      <c r="E13" s="3">
        <f>VLOOKUP(RIGHT(B13,8),'Điểm buổi thực hành các buổi'!$B$3:$F$16,4,FALSE)</f>
        <v>0.4</v>
      </c>
      <c r="F13" s="3">
        <f>VLOOKUP(RIGHT(B13,8),'Điểm buổi thực hành các buổi'!$B$3:$F$16,5,FALSE)</f>
        <v>0.4</v>
      </c>
      <c r="G13" s="3">
        <f>VLOOKUP(RIGHT(B13,8),'Điểm bài tập lớn'!$B$3:$D$16,3,FALSE)</f>
        <v>1</v>
      </c>
      <c r="H13" s="3">
        <f>VLOOKUP(RIGHT(B13,8),'Điểm lý thuyết'!$B$3:$D$16,3,FALSE)</f>
        <v>5.3</v>
      </c>
      <c r="I13" s="3">
        <f t="shared" si="0"/>
        <v>5.4</v>
      </c>
      <c r="J13" s="5">
        <f>ROUND(IF(OR(G13=0,VALUE(LEFT(B13,1))&gt;2),0,I13+VLOOKUP(VALUE(LEFT(B13,1)),'Các tham số &amp; Thống kê'!$E$3:$F$5,2,FALSE)),1)</f>
        <v>6.4</v>
      </c>
      <c r="K13" s="5" t="str">
        <f>VLOOKUP(J13,'Các tham số &amp; Thống kê'!$A$3:$B$10,2,TRUE)</f>
        <v>C</v>
      </c>
    </row>
    <row r="14" s="16" customFormat="1" spans="1:11">
      <c r="A14" s="3">
        <v>8</v>
      </c>
      <c r="B14" s="3" t="s">
        <v>28</v>
      </c>
      <c r="C14" s="3" t="str">
        <f>VLOOKUP(RIGHT(B14,8),'Các tham số &amp; Thống kê'!$B$14:$C$27,2,FALSE)</f>
        <v>Huỳnh Thị Diễm</v>
      </c>
      <c r="D14" s="4">
        <f>VLOOKUP(RIGHT(B14,8),'Điểm buổi thực hành các buổi'!$B$3:$F$16,3,FALSE)</f>
        <v>0.4</v>
      </c>
      <c r="E14" s="3">
        <f>VLOOKUP(RIGHT(B14,8),'Điểm buổi thực hành các buổi'!$B$3:$F$16,4,FALSE)</f>
        <v>0.45</v>
      </c>
      <c r="F14" s="3">
        <f>VLOOKUP(RIGHT(B14,8),'Điểm buổi thực hành các buổi'!$B$3:$F$16,5,FALSE)</f>
        <v>0.4</v>
      </c>
      <c r="G14" s="3">
        <f>VLOOKUP(RIGHT(B14,8),'Điểm bài tập lớn'!$B$3:$D$16,3,FALSE)</f>
        <v>0</v>
      </c>
      <c r="H14" s="3">
        <f>VLOOKUP(RIGHT(B14,8),'Điểm lý thuyết'!$B$3:$D$16,3,FALSE)</f>
        <v>6.8</v>
      </c>
      <c r="I14" s="3">
        <f t="shared" si="0"/>
        <v>5.3</v>
      </c>
      <c r="J14" s="5">
        <f>ROUND(IF(OR(G14=0,VALUE(LEFT(B14,1))&gt;2),0,I14+VLOOKUP(VALUE(LEFT(B14,1)),'Các tham số &amp; Thống kê'!$E$3:$F$5,2,FALSE)),1)</f>
        <v>0</v>
      </c>
      <c r="K14" s="5" t="str">
        <f>VLOOKUP(J14,'Các tham số &amp; Thống kê'!$A$3:$B$10,2,TRUE)</f>
        <v>F</v>
      </c>
    </row>
    <row r="15" s="16" customFormat="1" spans="1:11">
      <c r="A15" s="3">
        <v>9</v>
      </c>
      <c r="B15" s="3" t="s">
        <v>29</v>
      </c>
      <c r="C15" s="3" t="str">
        <f>VLOOKUP(RIGHT(B15,8),'Các tham số &amp; Thống kê'!$B$14:$C$27,2,FALSE)</f>
        <v>Trần Thanh Nguyên</v>
      </c>
      <c r="D15" s="4">
        <f>VLOOKUP(RIGHT(B15,8),'Điểm buổi thực hành các buổi'!$B$3:$F$16,3,FALSE)</f>
        <v>0.45</v>
      </c>
      <c r="E15" s="3">
        <f>VLOOKUP(RIGHT(B15,8),'Điểm buổi thực hành các buổi'!$B$3:$F$16,4,FALSE)</f>
        <v>0.4</v>
      </c>
      <c r="F15" s="3">
        <f>VLOOKUP(RIGHT(B15,8),'Điểm buổi thực hành các buổi'!$B$3:$F$16,5,FALSE)</f>
        <v>0.4</v>
      </c>
      <c r="G15" s="3">
        <f>VLOOKUP(RIGHT(B15,8),'Điểm bài tập lớn'!$B$3:$D$16,3,FALSE)</f>
        <v>0.75</v>
      </c>
      <c r="H15" s="3">
        <f>VLOOKUP(RIGHT(B15,8),'Điểm lý thuyết'!$B$3:$D$16,3,FALSE)</f>
        <v>6.3</v>
      </c>
      <c r="I15" s="3">
        <f t="shared" si="0"/>
        <v>5.8</v>
      </c>
      <c r="J15" s="5">
        <f>ROUND(IF(OR(G15=0,VALUE(LEFT(B15,1))&gt;2),0,I15+VLOOKUP(VALUE(LEFT(B15,1)),'Các tham số &amp; Thống kê'!$E$3:$F$5,2,FALSE)),1)</f>
        <v>6.8</v>
      </c>
      <c r="K15" s="5" t="str">
        <f>VLOOKUP(J15,'Các tham số &amp; Thống kê'!$A$3:$B$10,2,TRUE)</f>
        <v>C+</v>
      </c>
    </row>
    <row r="16" s="16" customFormat="1" spans="1:11">
      <c r="A16" s="3">
        <v>10</v>
      </c>
      <c r="B16" s="3" t="s">
        <v>30</v>
      </c>
      <c r="C16" s="3" t="str">
        <f>VLOOKUP(RIGHT(B16,8),'Các tham số &amp; Thống kê'!$B$14:$C$27,2,FALSE)</f>
        <v>Nguyễn Thị Đào</v>
      </c>
      <c r="D16" s="4">
        <f>VLOOKUP(RIGHT(B16,8),'Điểm buổi thực hành các buổi'!$B$3:$F$16,3,FALSE)</f>
        <v>0.3</v>
      </c>
      <c r="E16" s="3">
        <f>VLOOKUP(RIGHT(B16,8),'Điểm buổi thực hành các buổi'!$B$3:$F$16,4,FALSE)</f>
        <v>0.5</v>
      </c>
      <c r="F16" s="3">
        <f>VLOOKUP(RIGHT(B16,8),'Điểm buổi thực hành các buổi'!$B$3:$F$16,5,FALSE)</f>
        <v>0.45</v>
      </c>
      <c r="G16" s="3">
        <f>VLOOKUP(RIGHT(B16,8),'Điểm bài tập lớn'!$B$3:$D$16,3,FALSE)</f>
        <v>0.3</v>
      </c>
      <c r="H16" s="3">
        <f>VLOOKUP(RIGHT(B16,8),'Điểm lý thuyết'!$B$3:$D$16,3,FALSE)</f>
        <v>8.3</v>
      </c>
      <c r="I16" s="3">
        <f t="shared" si="0"/>
        <v>6.5</v>
      </c>
      <c r="J16" s="5">
        <f>ROUND(IF(OR(G16=0,VALUE(LEFT(B16,1))&gt;2),0,I16+VLOOKUP(VALUE(LEFT(B16,1)),'Các tham số &amp; Thống kê'!$E$3:$F$5,2,FALSE)),1)</f>
        <v>7</v>
      </c>
      <c r="K16" s="5" t="str">
        <f>VLOOKUP(J16,'Các tham số &amp; Thống kê'!$A$3:$B$10,2,TRUE)</f>
        <v>B</v>
      </c>
    </row>
    <row r="17" s="16" customFormat="1" spans="1:11">
      <c r="A17" s="3">
        <v>11</v>
      </c>
      <c r="B17" s="3" t="s">
        <v>31</v>
      </c>
      <c r="C17" s="3" t="str">
        <f>VLOOKUP(RIGHT(B17,8),'Các tham số &amp; Thống kê'!$B$14:$C$27,2,FALSE)</f>
        <v>Nguyễn Chí Thanh</v>
      </c>
      <c r="D17" s="4">
        <f>VLOOKUP(RIGHT(B17,8),'Điểm buổi thực hành các buổi'!$B$3:$F$16,3,FALSE)</f>
        <v>0.4</v>
      </c>
      <c r="E17" s="3">
        <f>VLOOKUP(RIGHT(B17,8),'Điểm buổi thực hành các buổi'!$B$3:$F$16,4,FALSE)</f>
        <v>0.45</v>
      </c>
      <c r="F17" s="3">
        <f>VLOOKUP(RIGHT(B17,8),'Điểm buổi thực hành các buổi'!$B$3:$F$16,5,FALSE)</f>
        <v>0.4</v>
      </c>
      <c r="G17" s="3">
        <f>VLOOKUP(RIGHT(B17,8),'Điểm bài tập lớn'!$B$3:$D$16,3,FALSE)</f>
        <v>0.3</v>
      </c>
      <c r="H17" s="3">
        <f>VLOOKUP(RIGHT(B17,8),'Điểm lý thuyết'!$B$3:$D$16,3,FALSE)</f>
        <v>-3</v>
      </c>
      <c r="I17" s="3">
        <f t="shared" si="0"/>
        <v>0</v>
      </c>
      <c r="J17" s="5">
        <f>ROUND(IF(OR(G17=0,VALUE(LEFT(B17,1))&gt;2),0,I17+VLOOKUP(VALUE(LEFT(B17,1)),'Các tham số &amp; Thống kê'!$E$3:$F$5,2,FALSE)),1)</f>
        <v>0</v>
      </c>
      <c r="K17" s="5" t="str">
        <f>VLOOKUP(J17,'Các tham số &amp; Thống kê'!$A$3:$B$10,2,TRUE)</f>
        <v>F</v>
      </c>
    </row>
    <row r="18" s="16" customFormat="1" spans="1:11">
      <c r="A18" s="3">
        <v>12</v>
      </c>
      <c r="B18" s="3" t="s">
        <v>32</v>
      </c>
      <c r="C18" s="3" t="str">
        <f>VLOOKUP(RIGHT(B18,8),'Các tham số &amp; Thống kê'!$B$14:$C$27,2,FALSE)</f>
        <v>Nguyễn Hải Anh</v>
      </c>
      <c r="D18" s="4">
        <f>VLOOKUP(RIGHT(B18,8),'Điểm buổi thực hành các buổi'!$B$3:$F$16,3,FALSE)</f>
        <v>0.5</v>
      </c>
      <c r="E18" s="3">
        <f>VLOOKUP(RIGHT(B18,8),'Điểm buổi thực hành các buổi'!$B$3:$F$16,4,FALSE)</f>
        <v>0.5</v>
      </c>
      <c r="F18" s="3">
        <f>VLOOKUP(RIGHT(B18,8),'Điểm buổi thực hành các buổi'!$B$3:$F$16,5,FALSE)</f>
        <v>0.45</v>
      </c>
      <c r="G18" s="3">
        <f>VLOOKUP(RIGHT(B18,8),'Điểm bài tập lớn'!$B$3:$D$16,3,FALSE)</f>
        <v>1.5</v>
      </c>
      <c r="H18" s="3">
        <f>VLOOKUP(RIGHT(B18,8),'Điểm lý thuyết'!$B$3:$D$16,3,FALSE)</f>
        <v>7</v>
      </c>
      <c r="I18" s="3">
        <f t="shared" si="0"/>
        <v>7.2</v>
      </c>
      <c r="J18" s="5">
        <f>ROUND(IF(OR(G18=0,VALUE(LEFT(B18,1))&gt;2),0,I18+VLOOKUP(VALUE(LEFT(B18,1)),'Các tham số &amp; Thống kê'!$E$3:$F$5,2,FALSE)),1)</f>
        <v>7.5</v>
      </c>
      <c r="K18" s="5" t="str">
        <f>VLOOKUP(J18,'Các tham số &amp; Thống kê'!$A$3:$B$10,2,TRUE)</f>
        <v>B</v>
      </c>
    </row>
    <row r="19" s="16" customFormat="1" spans="1:11">
      <c r="A19" s="3">
        <v>13</v>
      </c>
      <c r="B19" s="3" t="s">
        <v>33</v>
      </c>
      <c r="C19" s="3" t="str">
        <f>VLOOKUP(RIGHT(B19,8),'Các tham số &amp; Thống kê'!$B$14:$C$27,2,FALSE)</f>
        <v>Trần Nam Dương</v>
      </c>
      <c r="D19" s="4">
        <f>VLOOKUP(RIGHT(B19,8),'Điểm buổi thực hành các buổi'!$B$3:$F$16,3,FALSE)</f>
        <v>0.4</v>
      </c>
      <c r="E19" s="3">
        <f>VLOOKUP(RIGHT(B19,8),'Điểm buổi thực hành các buổi'!$B$3:$F$16,4,FALSE)</f>
        <v>0.4</v>
      </c>
      <c r="F19" s="3">
        <f>VLOOKUP(RIGHT(B19,8),'Điểm buổi thực hành các buổi'!$B$3:$F$16,5,FALSE)</f>
        <v>0.35</v>
      </c>
      <c r="G19" s="3">
        <f>VLOOKUP(RIGHT(B19,8),'Điểm bài tập lớn'!$B$3:$D$16,3,FALSE)</f>
        <v>1.35</v>
      </c>
      <c r="H19" s="3">
        <f>VLOOKUP(RIGHT(B19,8),'Điểm lý thuyết'!$B$3:$D$16,3,FALSE)</f>
        <v>-3</v>
      </c>
      <c r="I19" s="3">
        <f t="shared" si="0"/>
        <v>0</v>
      </c>
      <c r="J19" s="5">
        <f>ROUND(IF(OR(G19=0,VALUE(LEFT(B19,1))&gt;2),0,I19+VLOOKUP(VALUE(LEFT(B19,1)),'Các tham số &amp; Thống kê'!$E$3:$F$5,2,FALSE)),1)</f>
        <v>0</v>
      </c>
      <c r="K19" s="5" t="str">
        <f>VLOOKUP(J19,'Các tham số &amp; Thống kê'!$A$3:$B$10,2,TRUE)</f>
        <v>F</v>
      </c>
    </row>
    <row r="20" s="16" customFormat="1" spans="1:11">
      <c r="A20" s="3">
        <v>14</v>
      </c>
      <c r="B20" s="3" t="s">
        <v>34</v>
      </c>
      <c r="C20" s="3" t="str">
        <f>VLOOKUP(RIGHT(B20,8),'Các tham số &amp; Thống kê'!$B$14:$C$27,2,FALSE)</f>
        <v>Nguyễn Duy Khanh</v>
      </c>
      <c r="D20" s="4">
        <f>VLOOKUP(RIGHT(B20,8),'Điểm buổi thực hành các buổi'!$B$3:$F$16,3,FALSE)</f>
        <v>0.35</v>
      </c>
      <c r="E20" s="3">
        <f>VLOOKUP(RIGHT(B20,8),'Điểm buổi thực hành các buổi'!$B$3:$F$16,4,FALSE)</f>
        <v>0.4</v>
      </c>
      <c r="F20" s="3">
        <f>VLOOKUP(RIGHT(B20,8),'Điểm buổi thực hành các buổi'!$B$3:$F$16,5,FALSE)</f>
        <v>0</v>
      </c>
      <c r="G20" s="3">
        <f>VLOOKUP(RIGHT(B20,8),'Điểm bài tập lớn'!$B$3:$D$16,3,FALSE)</f>
        <v>0.85</v>
      </c>
      <c r="H20" s="3">
        <f>VLOOKUP(RIGHT(B20,8),'Điểm lý thuyết'!$B$3:$D$16,3,FALSE)</f>
        <v>6.5</v>
      </c>
      <c r="I20" s="3">
        <f t="shared" si="0"/>
        <v>5.5</v>
      </c>
      <c r="J20" s="5">
        <f>ROUND(IF(OR(G20=0,VALUE(LEFT(B20,1))&gt;2),0,I20+VLOOKUP(VALUE(LEFT(B20,1)),'Các tham số &amp; Thống kê'!$E$3:$F$5,2,FALSE)),1)</f>
        <v>6.5</v>
      </c>
      <c r="K20" s="5" t="str">
        <f>VLOOKUP(J20,'Các tham số &amp; Thống kê'!$A$3:$B$10,2,TRUE)</f>
        <v>C+</v>
      </c>
    </row>
    <row r="21" spans="1:11">
      <c r="A21" s="16"/>
      <c r="B21" s="16"/>
      <c r="C21" s="16"/>
    </row>
  </sheetData>
  <mergeCells count="7">
    <mergeCell ref="B1:I1"/>
    <mergeCell ref="D2:E2"/>
    <mergeCell ref="F2:I2"/>
    <mergeCell ref="D3:E3"/>
    <mergeCell ref="F3:I3"/>
    <mergeCell ref="D4:E4"/>
    <mergeCell ref="F4:I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C11" sqref="C11"/>
    </sheetView>
  </sheetViews>
  <sheetFormatPr defaultColWidth="9" defaultRowHeight="13.8" outlineLevelCol="5"/>
  <cols>
    <col min="1" max="1" width="11" customWidth="1"/>
    <col min="2" max="2" width="14" customWidth="1"/>
    <col min="3" max="3" width="19.6666666666667" customWidth="1"/>
    <col min="4" max="5" width="11.6666666666667" customWidth="1"/>
    <col min="6" max="6" width="12.775" customWidth="1"/>
  </cols>
  <sheetData>
    <row r="1" spans="1:6">
      <c r="A1" s="15" t="s">
        <v>35</v>
      </c>
      <c r="B1" s="15"/>
      <c r="C1" s="15"/>
      <c r="D1" s="15"/>
      <c r="E1" s="15"/>
      <c r="F1" s="15"/>
    </row>
    <row r="2" spans="1:6">
      <c r="A2" s="15" t="s">
        <v>36</v>
      </c>
      <c r="B2" s="15" t="s">
        <v>37</v>
      </c>
      <c r="C2" s="15" t="s">
        <v>38</v>
      </c>
      <c r="D2" s="15" t="s">
        <v>39</v>
      </c>
      <c r="E2" s="15" t="s">
        <v>14</v>
      </c>
      <c r="F2" s="15" t="s">
        <v>15</v>
      </c>
    </row>
    <row r="3" spans="1:6">
      <c r="A3" s="3">
        <v>1</v>
      </c>
      <c r="B3" s="3" t="s">
        <v>40</v>
      </c>
      <c r="C3" s="3" t="s">
        <v>41</v>
      </c>
      <c r="D3" s="3">
        <v>0.45</v>
      </c>
      <c r="E3" s="3">
        <v>0.25</v>
      </c>
      <c r="F3" s="3">
        <v>0.3</v>
      </c>
    </row>
    <row r="4" spans="1:6">
      <c r="A4" s="3">
        <v>2</v>
      </c>
      <c r="B4" s="3" t="s">
        <v>42</v>
      </c>
      <c r="C4" s="3" t="s">
        <v>43</v>
      </c>
      <c r="D4" s="3">
        <v>0.5</v>
      </c>
      <c r="E4" s="3">
        <v>0.35</v>
      </c>
      <c r="F4" s="3">
        <v>0.4</v>
      </c>
    </row>
    <row r="5" spans="1:6">
      <c r="A5" s="3">
        <v>3</v>
      </c>
      <c r="B5" s="3" t="s">
        <v>44</v>
      </c>
      <c r="C5" s="3" t="s">
        <v>45</v>
      </c>
      <c r="D5" s="3">
        <v>0.25</v>
      </c>
      <c r="E5" s="3">
        <v>0.25</v>
      </c>
      <c r="F5" s="3">
        <v>0.3</v>
      </c>
    </row>
    <row r="6" spans="1:6">
      <c r="A6" s="3">
        <v>4</v>
      </c>
      <c r="B6" s="3" t="s">
        <v>46</v>
      </c>
      <c r="C6" s="3" t="s">
        <v>47</v>
      </c>
      <c r="D6" s="3">
        <v>0.4</v>
      </c>
      <c r="E6" s="3">
        <v>0.25</v>
      </c>
      <c r="F6" s="3">
        <v>0.35</v>
      </c>
    </row>
    <row r="7" spans="1:6">
      <c r="A7" s="3">
        <v>5</v>
      </c>
      <c r="B7" s="3" t="s">
        <v>48</v>
      </c>
      <c r="C7" s="3" t="s">
        <v>49</v>
      </c>
      <c r="D7" s="3">
        <v>0.45</v>
      </c>
      <c r="E7" s="3">
        <v>0.4</v>
      </c>
      <c r="F7" s="3">
        <v>0.35</v>
      </c>
    </row>
    <row r="8" spans="1:6">
      <c r="A8" s="3">
        <v>6</v>
      </c>
      <c r="B8" s="3" t="s">
        <v>50</v>
      </c>
      <c r="C8" s="3" t="s">
        <v>51</v>
      </c>
      <c r="D8" s="3">
        <v>0.4</v>
      </c>
      <c r="E8" s="3">
        <v>0.45</v>
      </c>
      <c r="F8" s="3">
        <v>0.5</v>
      </c>
    </row>
    <row r="9" spans="1:6">
      <c r="A9" s="3">
        <v>7</v>
      </c>
      <c r="B9" s="3" t="s">
        <v>52</v>
      </c>
      <c r="C9" s="3" t="s">
        <v>53</v>
      </c>
      <c r="D9" s="3">
        <v>0.4</v>
      </c>
      <c r="E9" s="3">
        <v>0.4</v>
      </c>
      <c r="F9" s="3">
        <v>0.4</v>
      </c>
    </row>
    <row r="10" spans="1:6">
      <c r="A10" s="3">
        <v>8</v>
      </c>
      <c r="B10" s="3" t="s">
        <v>54</v>
      </c>
      <c r="C10" s="3" t="s">
        <v>55</v>
      </c>
      <c r="D10" s="3">
        <v>0.4</v>
      </c>
      <c r="E10" s="3">
        <v>0.45</v>
      </c>
      <c r="F10" s="3">
        <v>0.4</v>
      </c>
    </row>
    <row r="11" spans="1:6">
      <c r="A11" s="3">
        <v>9</v>
      </c>
      <c r="B11" s="3" t="s">
        <v>56</v>
      </c>
      <c r="C11" s="3" t="s">
        <v>57</v>
      </c>
      <c r="D11" s="3">
        <v>0.45</v>
      </c>
      <c r="E11" s="3">
        <v>0.4</v>
      </c>
      <c r="F11" s="3">
        <v>0.4</v>
      </c>
    </row>
    <row r="12" spans="1:6">
      <c r="A12" s="3">
        <v>10</v>
      </c>
      <c r="B12" s="3" t="s">
        <v>58</v>
      </c>
      <c r="C12" s="3" t="s">
        <v>59</v>
      </c>
      <c r="D12" s="3">
        <v>0.3</v>
      </c>
      <c r="E12" s="3">
        <v>0.5</v>
      </c>
      <c r="F12" s="3">
        <v>0.45</v>
      </c>
    </row>
    <row r="13" spans="1:6">
      <c r="A13" s="3">
        <v>11</v>
      </c>
      <c r="B13" s="3" t="s">
        <v>60</v>
      </c>
      <c r="C13" s="3" t="s">
        <v>61</v>
      </c>
      <c r="D13" s="3">
        <v>0.4</v>
      </c>
      <c r="E13" s="3">
        <v>0.45</v>
      </c>
      <c r="F13" s="3">
        <v>0.4</v>
      </c>
    </row>
    <row r="14" spans="1:6">
      <c r="A14" s="3">
        <v>12</v>
      </c>
      <c r="B14" s="3" t="s">
        <v>62</v>
      </c>
      <c r="C14" s="3" t="s">
        <v>63</v>
      </c>
      <c r="D14" s="3">
        <v>0.5</v>
      </c>
      <c r="E14" s="3">
        <v>0.5</v>
      </c>
      <c r="F14" s="3">
        <v>0.45</v>
      </c>
    </row>
    <row r="15" spans="1:6">
      <c r="A15" s="3">
        <v>13</v>
      </c>
      <c r="B15" s="3" t="s">
        <v>64</v>
      </c>
      <c r="C15" s="3" t="s">
        <v>65</v>
      </c>
      <c r="D15" s="3">
        <v>0.4</v>
      </c>
      <c r="E15" s="3">
        <v>0.4</v>
      </c>
      <c r="F15" s="3">
        <v>0.35</v>
      </c>
    </row>
    <row r="16" spans="1:6">
      <c r="A16" s="3">
        <v>14</v>
      </c>
      <c r="B16" s="3" t="s">
        <v>66</v>
      </c>
      <c r="C16" s="3" t="s">
        <v>67</v>
      </c>
      <c r="D16" s="3">
        <v>0.35</v>
      </c>
      <c r="E16" s="3">
        <v>0.4</v>
      </c>
      <c r="F16" s="3">
        <v>0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11" sqref="E11"/>
    </sheetView>
  </sheetViews>
  <sheetFormatPr defaultColWidth="9" defaultRowHeight="13.8" outlineLevelCol="3"/>
  <cols>
    <col min="1" max="1" width="10.1083333333333" customWidth="1"/>
    <col min="2" max="2" width="11.4416666666667" customWidth="1"/>
    <col min="3" max="3" width="19.775" customWidth="1"/>
    <col min="4" max="4" width="14.775" customWidth="1"/>
  </cols>
  <sheetData>
    <row r="1" spans="1:4">
      <c r="A1" s="14" t="s">
        <v>68</v>
      </c>
      <c r="B1" s="14"/>
      <c r="C1" s="14"/>
      <c r="D1" s="14"/>
    </row>
    <row r="2" spans="1:4">
      <c r="A2" s="15" t="s">
        <v>36</v>
      </c>
      <c r="B2" s="15" t="s">
        <v>37</v>
      </c>
      <c r="C2" s="15" t="s">
        <v>38</v>
      </c>
      <c r="D2" s="15" t="s">
        <v>69</v>
      </c>
    </row>
    <row r="3" spans="1:4">
      <c r="A3" s="3">
        <v>1</v>
      </c>
      <c r="B3" s="3" t="s">
        <v>40</v>
      </c>
      <c r="C3" s="3" t="s">
        <v>41</v>
      </c>
      <c r="D3" s="8">
        <v>0.5</v>
      </c>
    </row>
    <row r="4" spans="1:4">
      <c r="A4" s="3">
        <v>2</v>
      </c>
      <c r="B4" s="3" t="s">
        <v>42</v>
      </c>
      <c r="C4" s="3" t="s">
        <v>43</v>
      </c>
      <c r="D4" s="8">
        <v>1</v>
      </c>
    </row>
    <row r="5" spans="1:4">
      <c r="A5" s="3">
        <v>3</v>
      </c>
      <c r="B5" s="3" t="s">
        <v>44</v>
      </c>
      <c r="C5" s="3" t="s">
        <v>45</v>
      </c>
      <c r="D5" s="8">
        <v>0.5</v>
      </c>
    </row>
    <row r="6" spans="1:4">
      <c r="A6" s="3">
        <v>4</v>
      </c>
      <c r="B6" s="3" t="s">
        <v>46</v>
      </c>
      <c r="C6" s="3" t="s">
        <v>47</v>
      </c>
      <c r="D6" s="8">
        <v>1</v>
      </c>
    </row>
    <row r="7" spans="1:4">
      <c r="A7" s="3">
        <v>5</v>
      </c>
      <c r="B7" s="3" t="s">
        <v>48</v>
      </c>
      <c r="C7" s="3" t="s">
        <v>49</v>
      </c>
      <c r="D7" s="8">
        <v>0.75</v>
      </c>
    </row>
    <row r="8" spans="1:4">
      <c r="A8" s="3">
        <v>6</v>
      </c>
      <c r="B8" s="3" t="s">
        <v>50</v>
      </c>
      <c r="C8" s="3" t="s">
        <v>51</v>
      </c>
      <c r="D8" s="8">
        <v>1.2</v>
      </c>
    </row>
    <row r="9" spans="1:4">
      <c r="A9" s="3">
        <v>7</v>
      </c>
      <c r="B9" s="3" t="s">
        <v>52</v>
      </c>
      <c r="C9" s="3" t="s">
        <v>53</v>
      </c>
      <c r="D9" s="8">
        <v>1</v>
      </c>
    </row>
    <row r="10" spans="1:4">
      <c r="A10" s="3">
        <v>8</v>
      </c>
      <c r="B10" s="3" t="s">
        <v>54</v>
      </c>
      <c r="C10" s="3" t="s">
        <v>55</v>
      </c>
      <c r="D10" s="8">
        <v>0</v>
      </c>
    </row>
    <row r="11" spans="1:4">
      <c r="A11" s="3">
        <v>9</v>
      </c>
      <c r="B11" s="3" t="s">
        <v>56</v>
      </c>
      <c r="C11" s="3" t="s">
        <v>57</v>
      </c>
      <c r="D11" s="8">
        <v>0.75</v>
      </c>
    </row>
    <row r="12" spans="1:4">
      <c r="A12" s="3">
        <v>10</v>
      </c>
      <c r="B12" s="3" t="s">
        <v>58</v>
      </c>
      <c r="C12" s="3" t="s">
        <v>59</v>
      </c>
      <c r="D12" s="8">
        <v>0.3</v>
      </c>
    </row>
    <row r="13" ht="13.2" customHeight="1" spans="1:4">
      <c r="A13" s="3">
        <v>11</v>
      </c>
      <c r="B13" s="3" t="s">
        <v>60</v>
      </c>
      <c r="C13" s="3" t="s">
        <v>61</v>
      </c>
      <c r="D13" s="8">
        <v>0.3</v>
      </c>
    </row>
    <row r="14" spans="1:4">
      <c r="A14" s="3">
        <v>12</v>
      </c>
      <c r="B14" s="3" t="s">
        <v>62</v>
      </c>
      <c r="C14" s="3" t="s">
        <v>63</v>
      </c>
      <c r="D14" s="8">
        <v>1.5</v>
      </c>
    </row>
    <row r="15" spans="1:4">
      <c r="A15" s="3">
        <v>13</v>
      </c>
      <c r="B15" s="3" t="s">
        <v>64</v>
      </c>
      <c r="C15" s="3" t="s">
        <v>65</v>
      </c>
      <c r="D15" s="8">
        <v>1.35</v>
      </c>
    </row>
    <row r="16" spans="1:4">
      <c r="A16" s="3">
        <v>14</v>
      </c>
      <c r="B16" s="3" t="s">
        <v>66</v>
      </c>
      <c r="C16" s="3" t="s">
        <v>67</v>
      </c>
      <c r="D16" s="8">
        <v>0.85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F27" sqref="F27"/>
    </sheetView>
  </sheetViews>
  <sheetFormatPr defaultColWidth="9" defaultRowHeight="13.8" outlineLevelCol="3"/>
  <cols>
    <col min="1" max="1" width="10.225" customWidth="1"/>
    <col min="2" max="2" width="11.1083333333333" customWidth="1"/>
    <col min="3" max="3" width="19.4416666666667" customWidth="1"/>
    <col min="4" max="4" width="17.1083333333333" customWidth="1"/>
  </cols>
  <sheetData>
    <row r="1" spans="1:4">
      <c r="A1" s="13" t="s">
        <v>70</v>
      </c>
      <c r="B1" s="13"/>
      <c r="C1" s="13"/>
      <c r="D1" s="13"/>
    </row>
    <row r="2" spans="1:4">
      <c r="A2" s="13" t="s">
        <v>36</v>
      </c>
      <c r="B2" s="13" t="s">
        <v>37</v>
      </c>
      <c r="C2" s="13" t="s">
        <v>38</v>
      </c>
      <c r="D2" s="13" t="s">
        <v>70</v>
      </c>
    </row>
    <row r="3" spans="1:4">
      <c r="A3" s="3">
        <v>1</v>
      </c>
      <c r="B3" s="3" t="s">
        <v>40</v>
      </c>
      <c r="C3" s="3" t="s">
        <v>41</v>
      </c>
      <c r="D3" s="8">
        <v>4.2</v>
      </c>
    </row>
    <row r="4" spans="1:4">
      <c r="A4" s="3">
        <v>2</v>
      </c>
      <c r="B4" s="3" t="s">
        <v>42</v>
      </c>
      <c r="C4" s="3" t="s">
        <v>43</v>
      </c>
      <c r="D4" s="8">
        <v>5.8</v>
      </c>
    </row>
    <row r="5" spans="1:4">
      <c r="A5" s="3">
        <v>3</v>
      </c>
      <c r="B5" s="3" t="s">
        <v>44</v>
      </c>
      <c r="C5" s="3" t="s">
        <v>45</v>
      </c>
      <c r="D5" s="8">
        <v>5.8</v>
      </c>
    </row>
    <row r="6" spans="1:4">
      <c r="A6" s="3">
        <v>4</v>
      </c>
      <c r="B6" s="3" t="s">
        <v>46</v>
      </c>
      <c r="C6" s="3" t="s">
        <v>47</v>
      </c>
      <c r="D6" s="8">
        <v>4.5</v>
      </c>
    </row>
    <row r="7" spans="1:4">
      <c r="A7" s="3">
        <v>5</v>
      </c>
      <c r="B7" s="3" t="s">
        <v>48</v>
      </c>
      <c r="C7" s="3" t="s">
        <v>49</v>
      </c>
      <c r="D7" s="8">
        <v>5.5</v>
      </c>
    </row>
    <row r="8" spans="1:4">
      <c r="A8" s="3">
        <v>6</v>
      </c>
      <c r="B8" s="3" t="s">
        <v>50</v>
      </c>
      <c r="C8" s="3" t="s">
        <v>51</v>
      </c>
      <c r="D8" s="8">
        <v>7.5</v>
      </c>
    </row>
    <row r="9" spans="1:4">
      <c r="A9" s="3">
        <v>7</v>
      </c>
      <c r="B9" s="3" t="s">
        <v>52</v>
      </c>
      <c r="C9" s="3" t="s">
        <v>53</v>
      </c>
      <c r="D9" s="8">
        <v>5.3</v>
      </c>
    </row>
    <row r="10" spans="1:4">
      <c r="A10" s="3">
        <v>8</v>
      </c>
      <c r="B10" s="3" t="s">
        <v>54</v>
      </c>
      <c r="C10" s="3" t="s">
        <v>55</v>
      </c>
      <c r="D10" s="8">
        <v>6.8</v>
      </c>
    </row>
    <row r="11" spans="1:4">
      <c r="A11" s="3">
        <v>9</v>
      </c>
      <c r="B11" s="3" t="s">
        <v>56</v>
      </c>
      <c r="C11" s="3" t="s">
        <v>57</v>
      </c>
      <c r="D11" s="8">
        <v>6.3</v>
      </c>
    </row>
    <row r="12" spans="1:4">
      <c r="A12" s="3">
        <v>10</v>
      </c>
      <c r="B12" s="3" t="s">
        <v>58</v>
      </c>
      <c r="C12" s="3" t="s">
        <v>59</v>
      </c>
      <c r="D12" s="8">
        <v>8.3</v>
      </c>
    </row>
    <row r="13" spans="1:4">
      <c r="A13" s="3">
        <v>11</v>
      </c>
      <c r="B13" s="3" t="s">
        <v>60</v>
      </c>
      <c r="C13" s="3" t="s">
        <v>61</v>
      </c>
      <c r="D13" s="8">
        <f>-3</f>
        <v>-3</v>
      </c>
    </row>
    <row r="14" spans="1:4">
      <c r="A14" s="3">
        <v>12</v>
      </c>
      <c r="B14" s="3" t="s">
        <v>62</v>
      </c>
      <c r="C14" s="3" t="s">
        <v>63</v>
      </c>
      <c r="D14" s="8">
        <v>7</v>
      </c>
    </row>
    <row r="15" spans="1:4">
      <c r="A15" s="3">
        <v>13</v>
      </c>
      <c r="B15" s="3" t="s">
        <v>64</v>
      </c>
      <c r="C15" s="3" t="s">
        <v>65</v>
      </c>
      <c r="D15" s="8">
        <v>-3</v>
      </c>
    </row>
    <row r="16" spans="1:4">
      <c r="A16" s="3">
        <v>14</v>
      </c>
      <c r="B16" s="3" t="s">
        <v>66</v>
      </c>
      <c r="C16" s="3" t="s">
        <v>67</v>
      </c>
      <c r="D16" s="8">
        <v>6.5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18" workbookViewId="0">
      <selection activeCell="I24" sqref="I24"/>
    </sheetView>
  </sheetViews>
  <sheetFormatPr defaultColWidth="9" defaultRowHeight="13.8" outlineLevelCol="5"/>
  <cols>
    <col min="1" max="1" width="24.3333333333333" customWidth="1"/>
    <col min="2" max="2" width="14.225" customWidth="1"/>
    <col min="3" max="3" width="24.3333333333333" customWidth="1"/>
    <col min="4" max="4" width="3.66666666666667" customWidth="1"/>
    <col min="5" max="5" width="21.3333333333333" customWidth="1"/>
    <col min="6" max="6" width="22.7" customWidth="1"/>
  </cols>
  <sheetData>
    <row r="1" spans="1:6">
      <c r="A1" s="6" t="s">
        <v>71</v>
      </c>
      <c r="B1" s="6"/>
      <c r="C1" s="6"/>
      <c r="D1" s="6"/>
      <c r="E1" s="6" t="s">
        <v>72</v>
      </c>
      <c r="F1" s="6"/>
    </row>
    <row r="2" spans="1:6">
      <c r="A2" s="6" t="s">
        <v>73</v>
      </c>
      <c r="B2" s="6" t="s">
        <v>74</v>
      </c>
      <c r="C2" s="6" t="s">
        <v>75</v>
      </c>
      <c r="D2" s="6"/>
      <c r="E2" s="6" t="s">
        <v>76</v>
      </c>
      <c r="F2" s="6" t="s">
        <v>77</v>
      </c>
    </row>
    <row r="3" spans="1:6">
      <c r="A3" s="7">
        <v>0</v>
      </c>
      <c r="B3" s="7" t="s">
        <v>78</v>
      </c>
      <c r="C3" s="7">
        <v>0</v>
      </c>
      <c r="D3" s="7"/>
      <c r="E3" s="8">
        <v>0</v>
      </c>
      <c r="F3" s="7">
        <v>1</v>
      </c>
    </row>
    <row r="4" spans="1:6">
      <c r="A4" s="7">
        <v>4</v>
      </c>
      <c r="B4" s="7" t="s">
        <v>79</v>
      </c>
      <c r="C4" s="7">
        <v>1</v>
      </c>
      <c r="D4" s="7"/>
      <c r="E4" s="8">
        <v>1</v>
      </c>
      <c r="F4" s="7">
        <v>0.5</v>
      </c>
    </row>
    <row r="5" spans="1:6">
      <c r="A5" s="7">
        <v>5</v>
      </c>
      <c r="B5" s="7" t="s">
        <v>80</v>
      </c>
      <c r="C5" s="7">
        <v>1.5</v>
      </c>
      <c r="D5" s="7"/>
      <c r="E5" s="8">
        <v>2</v>
      </c>
      <c r="F5" s="7">
        <v>0.25</v>
      </c>
    </row>
    <row r="6" spans="1:6">
      <c r="A6" s="7">
        <v>5.5</v>
      </c>
      <c r="B6" s="7" t="s">
        <v>81</v>
      </c>
      <c r="C6" s="7">
        <v>2</v>
      </c>
      <c r="D6" s="7"/>
      <c r="E6" s="7"/>
      <c r="F6" s="7"/>
    </row>
    <row r="7" spans="1:6">
      <c r="A7" s="7">
        <v>6.5</v>
      </c>
      <c r="B7" s="7" t="s">
        <v>82</v>
      </c>
      <c r="C7" s="7">
        <v>2.5</v>
      </c>
      <c r="D7" s="7"/>
      <c r="E7" s="7"/>
      <c r="F7" s="7"/>
    </row>
    <row r="8" spans="1:6">
      <c r="A8" s="7">
        <v>7</v>
      </c>
      <c r="B8" s="7" t="s">
        <v>83</v>
      </c>
      <c r="C8" s="7">
        <v>3</v>
      </c>
      <c r="D8" s="7"/>
      <c r="E8" s="7"/>
      <c r="F8" s="7"/>
    </row>
    <row r="9" spans="1:6">
      <c r="A9" s="7">
        <v>8</v>
      </c>
      <c r="B9" s="7" t="s">
        <v>84</v>
      </c>
      <c r="C9" s="7">
        <v>3.5</v>
      </c>
      <c r="D9" s="7"/>
      <c r="E9" s="7"/>
      <c r="F9" s="7"/>
    </row>
    <row r="10" spans="1:6">
      <c r="A10" s="7">
        <v>9</v>
      </c>
      <c r="B10" s="7" t="s">
        <v>85</v>
      </c>
      <c r="C10" s="7">
        <v>4</v>
      </c>
      <c r="D10" s="7"/>
      <c r="E10" s="7"/>
      <c r="F10" s="7"/>
    </row>
    <row r="12" spans="1:6">
      <c r="A12" s="6" t="s">
        <v>86</v>
      </c>
      <c r="B12" s="6"/>
      <c r="C12" s="6"/>
      <c r="D12" s="6"/>
      <c r="E12" s="6" t="s">
        <v>87</v>
      </c>
      <c r="F12" s="6"/>
    </row>
    <row r="13" ht="27.6" spans="1:6">
      <c r="A13" s="6" t="s">
        <v>36</v>
      </c>
      <c r="B13" s="6" t="s">
        <v>37</v>
      </c>
      <c r="C13" s="6" t="s">
        <v>12</v>
      </c>
      <c r="D13" s="6"/>
      <c r="E13" s="6" t="s">
        <v>74</v>
      </c>
      <c r="F13" s="9" t="s">
        <v>88</v>
      </c>
    </row>
    <row r="14" spans="1:6">
      <c r="A14" s="8">
        <v>1</v>
      </c>
      <c r="B14" s="10" t="s">
        <v>46</v>
      </c>
      <c r="C14" s="8" t="s">
        <v>47</v>
      </c>
      <c r="D14" s="8"/>
      <c r="E14" s="8" t="s">
        <v>85</v>
      </c>
      <c r="F14" s="8">
        <f>COUNTIF('Tổng hợp điểm'!$K$7:$K$20,E14)</f>
        <v>0</v>
      </c>
    </row>
    <row r="15" spans="1:6">
      <c r="A15" s="8">
        <v>2</v>
      </c>
      <c r="B15" s="10" t="s">
        <v>54</v>
      </c>
      <c r="C15" s="8" t="s">
        <v>55</v>
      </c>
      <c r="D15" s="8"/>
      <c r="E15" s="8" t="s">
        <v>84</v>
      </c>
      <c r="F15" s="8">
        <f>COUNTIF('Tổng hợp điểm'!$K$7:$K$20,E15)</f>
        <v>1</v>
      </c>
    </row>
    <row r="16" spans="1:6">
      <c r="A16" s="8">
        <v>3</v>
      </c>
      <c r="B16" s="10" t="s">
        <v>56</v>
      </c>
      <c r="C16" s="8" t="s">
        <v>57</v>
      </c>
      <c r="D16" s="8"/>
      <c r="E16" s="8" t="s">
        <v>83</v>
      </c>
      <c r="F16" s="8">
        <f>COUNTIF('Tổng hợp điểm'!$K$7:$K$20,E16)</f>
        <v>2</v>
      </c>
    </row>
    <row r="17" spans="1:6">
      <c r="A17" s="8">
        <v>4</v>
      </c>
      <c r="B17" s="10" t="s">
        <v>52</v>
      </c>
      <c r="C17" s="8" t="s">
        <v>53</v>
      </c>
      <c r="D17" s="8"/>
      <c r="E17" s="8" t="s">
        <v>82</v>
      </c>
      <c r="F17" s="8">
        <f>COUNTIF('Tổng hợp điểm'!$K$7:$K$20,E17)</f>
        <v>2</v>
      </c>
    </row>
    <row r="18" spans="1:6">
      <c r="A18" s="8">
        <v>5</v>
      </c>
      <c r="B18" s="10" t="s">
        <v>48</v>
      </c>
      <c r="C18" s="8" t="s">
        <v>49</v>
      </c>
      <c r="D18" s="8"/>
      <c r="E18" s="8" t="s">
        <v>81</v>
      </c>
      <c r="F18" s="8">
        <f>COUNTIF('Tổng hợp điểm'!$K$7:$K$20,E18)</f>
        <v>5</v>
      </c>
    </row>
    <row r="19" spans="1:6">
      <c r="A19" s="8">
        <v>6</v>
      </c>
      <c r="B19" s="10" t="s">
        <v>42</v>
      </c>
      <c r="C19" s="8" t="s">
        <v>89</v>
      </c>
      <c r="D19" s="8"/>
      <c r="E19" s="8" t="s">
        <v>80</v>
      </c>
      <c r="F19" s="8">
        <f>COUNTIF('Tổng hợp điểm'!$K$7:$K$20,E19)</f>
        <v>1</v>
      </c>
    </row>
    <row r="20" spans="1:6">
      <c r="A20" s="8">
        <v>7</v>
      </c>
      <c r="B20" s="10" t="s">
        <v>60</v>
      </c>
      <c r="C20" s="8" t="s">
        <v>61</v>
      </c>
      <c r="D20" s="8"/>
      <c r="E20" s="8" t="s">
        <v>79</v>
      </c>
      <c r="F20" s="8">
        <f>COUNTIF('Tổng hợp điểm'!$K$7:$K$20,E20)</f>
        <v>0</v>
      </c>
    </row>
    <row r="21" spans="1:6">
      <c r="A21" s="8">
        <v>8</v>
      </c>
      <c r="B21" s="10" t="s">
        <v>66</v>
      </c>
      <c r="C21" s="8" t="s">
        <v>67</v>
      </c>
      <c r="D21" s="8"/>
      <c r="E21" s="8" t="s">
        <v>78</v>
      </c>
      <c r="F21" s="8">
        <f>COUNTIF('Tổng hợp điểm'!$K$7:$K$20,E21)</f>
        <v>3</v>
      </c>
    </row>
    <row r="22" spans="1:6">
      <c r="A22" s="8">
        <v>9</v>
      </c>
      <c r="B22" s="10" t="s">
        <v>62</v>
      </c>
      <c r="C22" s="8" t="s">
        <v>63</v>
      </c>
      <c r="D22" s="8"/>
      <c r="E22" s="8"/>
      <c r="F22" s="8"/>
    </row>
    <row r="23" spans="1:6">
      <c r="A23" s="8">
        <v>10</v>
      </c>
      <c r="B23" s="10" t="s">
        <v>44</v>
      </c>
      <c r="C23" s="8" t="s">
        <v>45</v>
      </c>
      <c r="D23" s="8"/>
      <c r="E23" s="6" t="s">
        <v>90</v>
      </c>
      <c r="F23" s="6"/>
    </row>
    <row r="24" spans="1:6">
      <c r="A24" s="8">
        <v>11</v>
      </c>
      <c r="B24" s="10" t="s">
        <v>58</v>
      </c>
      <c r="C24" s="8" t="s">
        <v>59</v>
      </c>
      <c r="D24" s="8"/>
      <c r="E24" s="11" t="s">
        <v>91</v>
      </c>
      <c r="F24" s="8">
        <f>COUNTIF('Tổng hợp điểm'!$G$7:$G$20,0)+COUNTIF('Tổng hợp điểm'!$H$7:$H$20,-3)</f>
        <v>3</v>
      </c>
    </row>
    <row r="25" spans="1:6">
      <c r="A25" s="8">
        <v>12</v>
      </c>
      <c r="B25" s="10" t="s">
        <v>40</v>
      </c>
      <c r="C25" s="8" t="s">
        <v>41</v>
      </c>
      <c r="D25" s="8"/>
      <c r="E25" s="11"/>
      <c r="F25" s="8"/>
    </row>
    <row r="26" spans="1:6">
      <c r="A26" s="8">
        <v>13</v>
      </c>
      <c r="B26" s="10" t="s">
        <v>50</v>
      </c>
      <c r="C26" s="8" t="s">
        <v>51</v>
      </c>
      <c r="D26" s="8"/>
      <c r="E26" s="11"/>
      <c r="F26" s="8"/>
    </row>
    <row r="27" spans="1:6">
      <c r="A27" s="8">
        <v>14</v>
      </c>
      <c r="B27" s="10" t="s">
        <v>64</v>
      </c>
      <c r="C27" s="8" t="s">
        <v>65</v>
      </c>
      <c r="D27" s="8"/>
      <c r="E27" s="12" t="s">
        <v>92</v>
      </c>
      <c r="F27" s="8">
        <f>COUNTIF('Điểm buổi thực hành các buổi'!$E$7:$E$20,"&gt;2")</f>
        <v>0</v>
      </c>
    </row>
  </sheetData>
  <mergeCells count="7">
    <mergeCell ref="A1:C1"/>
    <mergeCell ref="E1:F1"/>
    <mergeCell ref="A12:C12"/>
    <mergeCell ref="E12:F12"/>
    <mergeCell ref="E23:F23"/>
    <mergeCell ref="E24:E26"/>
    <mergeCell ref="F24:F26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5"/>
  <sheetViews>
    <sheetView tabSelected="1" workbookViewId="0">
      <selection activeCell="M26" sqref="M26"/>
    </sheetView>
  </sheetViews>
  <sheetFormatPr defaultColWidth="9" defaultRowHeight="13.8"/>
  <cols>
    <col min="2" max="2" width="12.9" customWidth="1"/>
    <col min="3" max="3" width="17.1" customWidth="1"/>
  </cols>
  <sheetData>
    <row r="1" ht="69" spans="1:11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idden="1" spans="1:11">
      <c r="A2" s="3">
        <v>1</v>
      </c>
      <c r="B2" s="3" t="s">
        <v>21</v>
      </c>
      <c r="C2" s="3" t="str">
        <f>VLOOKUP(RIGHT(B2,8),'Các tham số &amp; Thống kê'!$B$14:$C$27,2,FALSE)</f>
        <v>Nguyễn Văn Hiếu</v>
      </c>
      <c r="D2" s="4">
        <f>VLOOKUP(RIGHT(B2,8),'Điểm buổi thực hành các buổi'!$B$3:$F$16,3,FALSE)</f>
        <v>0.45</v>
      </c>
      <c r="E2" s="3">
        <f>VLOOKUP(RIGHT(B2,8),'Điểm buổi thực hành các buổi'!$B$3:$F$16,4,FALSE)</f>
        <v>0.25</v>
      </c>
      <c r="F2" s="3">
        <f>VLOOKUP(RIGHT(B2,8),'Điểm buổi thực hành các buổi'!$B$3:$F$16,5,FALSE)</f>
        <v>0.3</v>
      </c>
      <c r="G2" s="3">
        <f>VLOOKUP(RIGHT(B2,8),'Điểm bài tập lớn'!$B$3:$D$16,3,FALSE)</f>
        <v>0.5</v>
      </c>
      <c r="H2" s="3">
        <f>VLOOKUP(RIGHT(B2,8),'Điểm lý thuyết'!$B$3:$D$16,3,FALSE)</f>
        <v>4.2</v>
      </c>
      <c r="I2" s="3">
        <f t="shared" ref="I2:I15" si="0">ROUND(IF(H2=-3,0,D2+E2+F2+G2+0.6*H2),1)</f>
        <v>4</v>
      </c>
      <c r="J2" s="5">
        <f>ROUND(IF(OR(G2=0,VALUE(LEFT(B2,1))&gt;2),0,I2+VLOOKUP(VALUE(LEFT(B2,1)),'Các tham số &amp; Thống kê'!$E$3:$F$5,2,FALSE)),1)</f>
        <v>5</v>
      </c>
      <c r="K2" s="5" t="str">
        <f>VLOOKUP(J2,'Các tham số &amp; Thống kê'!$A$3:$B$10,2,TRUE)</f>
        <v>D+</v>
      </c>
    </row>
    <row r="3" hidden="1" spans="1:11">
      <c r="A3" s="3">
        <v>2</v>
      </c>
      <c r="B3" s="3" t="s">
        <v>22</v>
      </c>
      <c r="C3" s="3" t="str">
        <f>VLOOKUP(RIGHT(B3,8),'Các tham số &amp; Thống kê'!$B$14:$C$27,2,FALSE)</f>
        <v>Lý Minh Trí</v>
      </c>
      <c r="D3" s="4">
        <f>VLOOKUP(RIGHT(B3,8),'Điểm buổi thực hành các buổi'!$B$3:$F$16,3,FALSE)</f>
        <v>0.5</v>
      </c>
      <c r="E3" s="3">
        <f>VLOOKUP(RIGHT(B3,8),'Điểm buổi thực hành các buổi'!$B$3:$F$16,4,FALSE)</f>
        <v>0.35</v>
      </c>
      <c r="F3" s="3">
        <f>VLOOKUP(RIGHT(B3,8),'Điểm buổi thực hành các buổi'!$B$3:$F$16,5,FALSE)</f>
        <v>0.4</v>
      </c>
      <c r="G3" s="3">
        <f>VLOOKUP(RIGHT(B3,8),'Điểm bài tập lớn'!$B$3:$D$16,3,FALSE)</f>
        <v>1</v>
      </c>
      <c r="H3" s="3">
        <f>VLOOKUP(RIGHT(B3,8),'Điểm lý thuyết'!$B$3:$D$16,3,FALSE)</f>
        <v>5.8</v>
      </c>
      <c r="I3" s="3">
        <f t="shared" si="0"/>
        <v>5.7</v>
      </c>
      <c r="J3" s="5">
        <f>ROUND(IF(OR(G3=0,VALUE(LEFT(B3,1))&gt;2),0,I3+VLOOKUP(VALUE(LEFT(B3,1)),'Các tham số &amp; Thống kê'!$E$3:$F$5,2,FALSE)),1)</f>
        <v>6.2</v>
      </c>
      <c r="K3" s="5" t="str">
        <f>VLOOKUP(J3,'Các tham số &amp; Thống kê'!$A$3:$B$10,2,TRUE)</f>
        <v>C</v>
      </c>
    </row>
    <row r="4" hidden="1" spans="1:11">
      <c r="A4" s="3">
        <v>3</v>
      </c>
      <c r="B4" s="3" t="s">
        <v>23</v>
      </c>
      <c r="C4" s="3" t="str">
        <f>VLOOKUP(RIGHT(B4,8),'Các tham số &amp; Thống kê'!$B$14:$C$27,2,FALSE)</f>
        <v>Nguyễn Kiều Mi</v>
      </c>
      <c r="D4" s="4">
        <f>VLOOKUP(RIGHT(B4,8),'Điểm buổi thực hành các buổi'!$B$3:$F$16,3,FALSE)</f>
        <v>0.25</v>
      </c>
      <c r="E4" s="3">
        <f>VLOOKUP(RIGHT(B4,8),'Điểm buổi thực hành các buổi'!$B$3:$F$16,4,FALSE)</f>
        <v>0.25</v>
      </c>
      <c r="F4" s="3">
        <f>VLOOKUP(RIGHT(B4,8),'Điểm buổi thực hành các buổi'!$B$3:$F$16,5,FALSE)</f>
        <v>0.3</v>
      </c>
      <c r="G4" s="3">
        <f>VLOOKUP(RIGHT(B4,8),'Điểm bài tập lớn'!$B$3:$D$16,3,FALSE)</f>
        <v>0.5</v>
      </c>
      <c r="H4" s="3">
        <f>VLOOKUP(RIGHT(B4,8),'Điểm lý thuyết'!$B$3:$D$16,3,FALSE)</f>
        <v>5.8</v>
      </c>
      <c r="I4" s="3">
        <f t="shared" si="0"/>
        <v>4.8</v>
      </c>
      <c r="J4" s="5">
        <f>ROUND(IF(OR(G4=0,VALUE(LEFT(B4,1))&gt;2),0,I4+VLOOKUP(VALUE(LEFT(B4,1)),'Các tham số &amp; Thống kê'!$E$3:$F$5,2,FALSE)),1)</f>
        <v>5.8</v>
      </c>
      <c r="K4" s="5" t="str">
        <f>VLOOKUP(J4,'Các tham số &amp; Thống kê'!$A$3:$B$10,2,TRUE)</f>
        <v>C</v>
      </c>
    </row>
    <row r="5" hidden="1" spans="1:11">
      <c r="A5" s="3">
        <v>4</v>
      </c>
      <c r="B5" s="3" t="s">
        <v>24</v>
      </c>
      <c r="C5" s="3" t="str">
        <f>VLOOKUP(RIGHT(B5,8),'Các tham số &amp; Thống kê'!$B$14:$C$27,2,FALSE)</f>
        <v>Đặng Duy Linh</v>
      </c>
      <c r="D5" s="4">
        <f>VLOOKUP(RIGHT(B5,8),'Điểm buổi thực hành các buổi'!$B$3:$F$16,3,FALSE)</f>
        <v>0.4</v>
      </c>
      <c r="E5" s="3">
        <f>VLOOKUP(RIGHT(B5,8),'Điểm buổi thực hành các buổi'!$B$3:$F$16,4,FALSE)</f>
        <v>0.25</v>
      </c>
      <c r="F5" s="3">
        <f>VLOOKUP(RIGHT(B5,8),'Điểm buổi thực hành các buổi'!$B$3:$F$16,5,FALSE)</f>
        <v>0.35</v>
      </c>
      <c r="G5" s="3">
        <f>VLOOKUP(RIGHT(B5,8),'Điểm bài tập lớn'!$B$3:$D$16,3,FALSE)</f>
        <v>1</v>
      </c>
      <c r="H5" s="3">
        <f>VLOOKUP(RIGHT(B5,8),'Điểm lý thuyết'!$B$3:$D$16,3,FALSE)</f>
        <v>4.5</v>
      </c>
      <c r="I5" s="3">
        <f t="shared" si="0"/>
        <v>4.7</v>
      </c>
      <c r="J5" s="5">
        <f>ROUND(IF(OR(G5=0,VALUE(LEFT(B5,1))&gt;2),0,I5+VLOOKUP(VALUE(LEFT(B5,1)),'Các tham số &amp; Thống kê'!$E$3:$F$5,2,FALSE)),1)</f>
        <v>5.7</v>
      </c>
      <c r="K5" s="5" t="str">
        <f>VLOOKUP(J5,'Các tham số &amp; Thống kê'!$A$3:$B$10,2,TRUE)</f>
        <v>C</v>
      </c>
    </row>
    <row r="6" hidden="1" spans="1:11">
      <c r="A6" s="3">
        <v>5</v>
      </c>
      <c r="B6" s="3" t="s">
        <v>25</v>
      </c>
      <c r="C6" s="3" t="str">
        <f>VLOOKUP(RIGHT(B6,8),'Các tham số &amp; Thống kê'!$B$14:$C$27,2,FALSE)</f>
        <v>Lê Thị Trúc Linh</v>
      </c>
      <c r="D6" s="4">
        <f>VLOOKUP(RIGHT(B6,8),'Điểm buổi thực hành các buổi'!$B$3:$F$16,3,FALSE)</f>
        <v>0.45</v>
      </c>
      <c r="E6" s="3">
        <f>VLOOKUP(RIGHT(B6,8),'Điểm buổi thực hành các buổi'!$B$3:$F$16,4,FALSE)</f>
        <v>0.4</v>
      </c>
      <c r="F6" s="3">
        <f>VLOOKUP(RIGHT(B6,8),'Điểm buổi thực hành các buổi'!$B$3:$F$16,5,FALSE)</f>
        <v>0.35</v>
      </c>
      <c r="G6" s="3">
        <f>VLOOKUP(RIGHT(B6,8),'Điểm bài tập lớn'!$B$3:$D$16,3,FALSE)</f>
        <v>0.75</v>
      </c>
      <c r="H6" s="3">
        <f>VLOOKUP(RIGHT(B6,8),'Điểm lý thuyết'!$B$3:$D$16,3,FALSE)</f>
        <v>5.5</v>
      </c>
      <c r="I6" s="3">
        <f t="shared" si="0"/>
        <v>5.3</v>
      </c>
      <c r="J6" s="5">
        <f>ROUND(IF(OR(G6=0,VALUE(LEFT(B6,1))&gt;2),0,I6+VLOOKUP(VALUE(LEFT(B6,1)),'Các tham số &amp; Thống kê'!$E$3:$F$5,2,FALSE)),1)</f>
        <v>5.6</v>
      </c>
      <c r="K6" s="5" t="str">
        <f>VLOOKUP(J6,'Các tham số &amp; Thống kê'!$A$3:$B$10,2,TRUE)</f>
        <v>C</v>
      </c>
    </row>
    <row r="7" spans="1:11">
      <c r="A7" s="3">
        <v>6</v>
      </c>
      <c r="B7" s="3" t="s">
        <v>26</v>
      </c>
      <c r="C7" s="3" t="str">
        <f>VLOOKUP(RIGHT(B7,8),'Các tham số &amp; Thống kê'!$B$14:$C$27,2,FALSE)</f>
        <v>Phạm Thị Huỳnh</v>
      </c>
      <c r="D7" s="4">
        <f>VLOOKUP(RIGHT(B7,8),'Điểm buổi thực hành các buổi'!$B$3:$F$16,3,FALSE)</f>
        <v>0.4</v>
      </c>
      <c r="E7" s="3">
        <f>VLOOKUP(RIGHT(B7,8),'Điểm buổi thực hành các buổi'!$B$3:$F$16,4,FALSE)</f>
        <v>0.45</v>
      </c>
      <c r="F7" s="3">
        <f>VLOOKUP(RIGHT(B7,8),'Điểm buổi thực hành các buổi'!$B$3:$F$16,5,FALSE)</f>
        <v>0.5</v>
      </c>
      <c r="G7" s="3">
        <f>VLOOKUP(RIGHT(B7,8),'Điểm bài tập lớn'!$B$3:$D$16,3,FALSE)</f>
        <v>1.2</v>
      </c>
      <c r="H7" s="3">
        <f>VLOOKUP(RIGHT(B7,8),'Điểm lý thuyết'!$B$3:$D$16,3,FALSE)</f>
        <v>7.5</v>
      </c>
      <c r="I7" s="3">
        <f t="shared" si="0"/>
        <v>7.1</v>
      </c>
      <c r="J7" s="5">
        <f>ROUND(IF(OR(G7=0,VALUE(LEFT(B7,1))&gt;2),0,I7+VLOOKUP(VALUE(LEFT(B7,1)),'Các tham số &amp; Thống kê'!$E$3:$F$5,2,FALSE)),1)</f>
        <v>8.1</v>
      </c>
      <c r="K7" s="5" t="str">
        <f>VLOOKUP(J7,'Các tham số &amp; Thống kê'!$A$3:$B$10,2,TRUE)</f>
        <v>B+</v>
      </c>
    </row>
    <row r="8" hidden="1" spans="1:11">
      <c r="A8" s="3">
        <v>7</v>
      </c>
      <c r="B8" s="3" t="s">
        <v>27</v>
      </c>
      <c r="C8" s="3" t="str">
        <f>VLOOKUP(RIGHT(B8,8),'Các tham số &amp; Thống kê'!$B$14:$C$27,2,FALSE)</f>
        <v>Lê Minh Thông</v>
      </c>
      <c r="D8" s="4">
        <f>VLOOKUP(RIGHT(B8,8),'Điểm buổi thực hành các buổi'!$B$3:$F$16,3,FALSE)</f>
        <v>0.4</v>
      </c>
      <c r="E8" s="3">
        <f>VLOOKUP(RIGHT(B8,8),'Điểm buổi thực hành các buổi'!$B$3:$F$16,4,FALSE)</f>
        <v>0.4</v>
      </c>
      <c r="F8" s="3">
        <f>VLOOKUP(RIGHT(B8,8),'Điểm buổi thực hành các buổi'!$B$3:$F$16,5,FALSE)</f>
        <v>0.4</v>
      </c>
      <c r="G8" s="3">
        <f>VLOOKUP(RIGHT(B8,8),'Điểm bài tập lớn'!$B$3:$D$16,3,FALSE)</f>
        <v>1</v>
      </c>
      <c r="H8" s="3">
        <f>VLOOKUP(RIGHT(B8,8),'Điểm lý thuyết'!$B$3:$D$16,3,FALSE)</f>
        <v>5.3</v>
      </c>
      <c r="I8" s="3">
        <f t="shared" si="0"/>
        <v>5.4</v>
      </c>
      <c r="J8" s="5">
        <f>ROUND(IF(OR(G8=0,VALUE(LEFT(B8,1))&gt;2),0,I8+VLOOKUP(VALUE(LEFT(B8,1)),'Các tham số &amp; Thống kê'!$E$3:$F$5,2,FALSE)),1)</f>
        <v>6.4</v>
      </c>
      <c r="K8" s="5" t="str">
        <f>VLOOKUP(J8,'Các tham số &amp; Thống kê'!$A$3:$B$10,2,TRUE)</f>
        <v>C</v>
      </c>
    </row>
    <row r="9" hidden="1" spans="1:11">
      <c r="A9" s="3">
        <v>8</v>
      </c>
      <c r="B9" s="3" t="s">
        <v>28</v>
      </c>
      <c r="C9" s="3" t="str">
        <f>VLOOKUP(RIGHT(B9,8),'Các tham số &amp; Thống kê'!$B$14:$C$27,2,FALSE)</f>
        <v>Huỳnh Thị Diễm</v>
      </c>
      <c r="D9" s="4">
        <f>VLOOKUP(RIGHT(B9,8),'Điểm buổi thực hành các buổi'!$B$3:$F$16,3,FALSE)</f>
        <v>0.4</v>
      </c>
      <c r="E9" s="3">
        <f>VLOOKUP(RIGHT(B9,8),'Điểm buổi thực hành các buổi'!$B$3:$F$16,4,FALSE)</f>
        <v>0.45</v>
      </c>
      <c r="F9" s="3">
        <f>VLOOKUP(RIGHT(B9,8),'Điểm buổi thực hành các buổi'!$B$3:$F$16,5,FALSE)</f>
        <v>0.4</v>
      </c>
      <c r="G9" s="3">
        <f>VLOOKUP(RIGHT(B9,8),'Điểm bài tập lớn'!$B$3:$D$16,3,FALSE)</f>
        <v>0</v>
      </c>
      <c r="H9" s="3">
        <f>VLOOKUP(RIGHT(B9,8),'Điểm lý thuyết'!$B$3:$D$16,3,FALSE)</f>
        <v>6.8</v>
      </c>
      <c r="I9" s="3">
        <f t="shared" si="0"/>
        <v>5.3</v>
      </c>
      <c r="J9" s="5">
        <f>ROUND(IF(OR(G9=0,VALUE(LEFT(B9,1))&gt;2),0,I9+VLOOKUP(VALUE(LEFT(B9,1)),'Các tham số &amp; Thống kê'!$E$3:$F$5,2,FALSE)),1)</f>
        <v>0</v>
      </c>
      <c r="K9" s="5" t="str">
        <f>VLOOKUP(J9,'Các tham số &amp; Thống kê'!$A$3:$B$10,2,TRUE)</f>
        <v>F</v>
      </c>
    </row>
    <row r="10" hidden="1" spans="1:11">
      <c r="A10" s="3">
        <v>9</v>
      </c>
      <c r="B10" s="3" t="s">
        <v>29</v>
      </c>
      <c r="C10" s="3" t="str">
        <f>VLOOKUP(RIGHT(B10,8),'Các tham số &amp; Thống kê'!$B$14:$C$27,2,FALSE)</f>
        <v>Trần Thanh Nguyên</v>
      </c>
      <c r="D10" s="4">
        <f>VLOOKUP(RIGHT(B10,8),'Điểm buổi thực hành các buổi'!$B$3:$F$16,3,FALSE)</f>
        <v>0.45</v>
      </c>
      <c r="E10" s="3">
        <f>VLOOKUP(RIGHT(B10,8),'Điểm buổi thực hành các buổi'!$B$3:$F$16,4,FALSE)</f>
        <v>0.4</v>
      </c>
      <c r="F10" s="3">
        <f>VLOOKUP(RIGHT(B10,8),'Điểm buổi thực hành các buổi'!$B$3:$F$16,5,FALSE)</f>
        <v>0.4</v>
      </c>
      <c r="G10" s="3">
        <f>VLOOKUP(RIGHT(B10,8),'Điểm bài tập lớn'!$B$3:$D$16,3,FALSE)</f>
        <v>0.75</v>
      </c>
      <c r="H10" s="3">
        <f>VLOOKUP(RIGHT(B10,8),'Điểm lý thuyết'!$B$3:$D$16,3,FALSE)</f>
        <v>6.3</v>
      </c>
      <c r="I10" s="3">
        <f t="shared" si="0"/>
        <v>5.8</v>
      </c>
      <c r="J10" s="5">
        <f>ROUND(IF(OR(G10=0,VALUE(LEFT(B10,1))&gt;2),0,I10+VLOOKUP(VALUE(LEFT(B10,1)),'Các tham số &amp; Thống kê'!$E$3:$F$5,2,FALSE)),1)</f>
        <v>6.8</v>
      </c>
      <c r="K10" s="5" t="str">
        <f>VLOOKUP(J10,'Các tham số &amp; Thống kê'!$A$3:$B$10,2,TRUE)</f>
        <v>C+</v>
      </c>
    </row>
    <row r="11" spans="1:11">
      <c r="A11" s="3">
        <v>10</v>
      </c>
      <c r="B11" s="3" t="s">
        <v>30</v>
      </c>
      <c r="C11" s="3" t="str">
        <f>VLOOKUP(RIGHT(B11,8),'Các tham số &amp; Thống kê'!$B$14:$C$27,2,FALSE)</f>
        <v>Nguyễn Thị Đào</v>
      </c>
      <c r="D11" s="4">
        <f>VLOOKUP(RIGHT(B11,8),'Điểm buổi thực hành các buổi'!$B$3:$F$16,3,FALSE)</f>
        <v>0.3</v>
      </c>
      <c r="E11" s="3">
        <f>VLOOKUP(RIGHT(B11,8),'Điểm buổi thực hành các buổi'!$B$3:$F$16,4,FALSE)</f>
        <v>0.5</v>
      </c>
      <c r="F11" s="3">
        <f>VLOOKUP(RIGHT(B11,8),'Điểm buổi thực hành các buổi'!$B$3:$F$16,5,FALSE)</f>
        <v>0.45</v>
      </c>
      <c r="G11" s="3">
        <f>VLOOKUP(RIGHT(B11,8),'Điểm bài tập lớn'!$B$3:$D$16,3,FALSE)</f>
        <v>0.3</v>
      </c>
      <c r="H11" s="3">
        <f>VLOOKUP(RIGHT(B11,8),'Điểm lý thuyết'!$B$3:$D$16,3,FALSE)</f>
        <v>8.3</v>
      </c>
      <c r="I11" s="3">
        <f t="shared" si="0"/>
        <v>6.5</v>
      </c>
      <c r="J11" s="5">
        <f>ROUND(IF(OR(G11=0,VALUE(LEFT(B11,1))&gt;2),0,I11+VLOOKUP(VALUE(LEFT(B11,1)),'Các tham số &amp; Thống kê'!$E$3:$F$5,2,FALSE)),1)</f>
        <v>7</v>
      </c>
      <c r="K11" s="5" t="str">
        <f>VLOOKUP(J11,'Các tham số &amp; Thống kê'!$A$3:$B$10,2,TRUE)</f>
        <v>B</v>
      </c>
    </row>
    <row r="12" hidden="1" spans="1:11">
      <c r="A12" s="3">
        <v>11</v>
      </c>
      <c r="B12" s="3" t="s">
        <v>31</v>
      </c>
      <c r="C12" s="3" t="str">
        <f>VLOOKUP(RIGHT(B12,8),'Các tham số &amp; Thống kê'!$B$14:$C$27,2,FALSE)</f>
        <v>Nguyễn Chí Thanh</v>
      </c>
      <c r="D12" s="4">
        <f>VLOOKUP(RIGHT(B12,8),'Điểm buổi thực hành các buổi'!$B$3:$F$16,3,FALSE)</f>
        <v>0.4</v>
      </c>
      <c r="E12" s="3">
        <f>VLOOKUP(RIGHT(B12,8),'Điểm buổi thực hành các buổi'!$B$3:$F$16,4,FALSE)</f>
        <v>0.45</v>
      </c>
      <c r="F12" s="3">
        <f>VLOOKUP(RIGHT(B12,8),'Điểm buổi thực hành các buổi'!$B$3:$F$16,5,FALSE)</f>
        <v>0.4</v>
      </c>
      <c r="G12" s="3">
        <f>VLOOKUP(RIGHT(B12,8),'Điểm bài tập lớn'!$B$3:$D$16,3,FALSE)</f>
        <v>0.3</v>
      </c>
      <c r="H12" s="3">
        <f>VLOOKUP(RIGHT(B12,8),'Điểm lý thuyết'!$B$3:$D$16,3,FALSE)</f>
        <v>-3</v>
      </c>
      <c r="I12" s="3">
        <f t="shared" si="0"/>
        <v>0</v>
      </c>
      <c r="J12" s="5">
        <f>ROUND(IF(OR(G12=0,VALUE(LEFT(B12,1))&gt;2),0,I12+VLOOKUP(VALUE(LEFT(B12,1)),'Các tham số &amp; Thống kê'!$E$3:$F$5,2,FALSE)),1)</f>
        <v>0</v>
      </c>
      <c r="K12" s="5" t="str">
        <f>VLOOKUP(J12,'Các tham số &amp; Thống kê'!$A$3:$B$10,2,TRUE)</f>
        <v>F</v>
      </c>
    </row>
    <row r="13" spans="1:11">
      <c r="A13" s="3">
        <v>12</v>
      </c>
      <c r="B13" s="3" t="s">
        <v>32</v>
      </c>
      <c r="C13" s="3" t="str">
        <f>VLOOKUP(RIGHT(B13,8),'Các tham số &amp; Thống kê'!$B$14:$C$27,2,FALSE)</f>
        <v>Nguyễn Hải Anh</v>
      </c>
      <c r="D13" s="4">
        <f>VLOOKUP(RIGHT(B13,8),'Điểm buổi thực hành các buổi'!$B$3:$F$16,3,FALSE)</f>
        <v>0.5</v>
      </c>
      <c r="E13" s="3">
        <f>VLOOKUP(RIGHT(B13,8),'Điểm buổi thực hành các buổi'!$B$3:$F$16,4,FALSE)</f>
        <v>0.5</v>
      </c>
      <c r="F13" s="3">
        <f>VLOOKUP(RIGHT(B13,8),'Điểm buổi thực hành các buổi'!$B$3:$F$16,5,FALSE)</f>
        <v>0.45</v>
      </c>
      <c r="G13" s="3">
        <f>VLOOKUP(RIGHT(B13,8),'Điểm bài tập lớn'!$B$3:$D$16,3,FALSE)</f>
        <v>1.5</v>
      </c>
      <c r="H13" s="3">
        <f>VLOOKUP(RIGHT(B13,8),'Điểm lý thuyết'!$B$3:$D$16,3,FALSE)</f>
        <v>7</v>
      </c>
      <c r="I13" s="3">
        <f t="shared" si="0"/>
        <v>7.2</v>
      </c>
      <c r="J13" s="5">
        <f>ROUND(IF(OR(G13=0,VALUE(LEFT(B13,1))&gt;2),0,I13+VLOOKUP(VALUE(LEFT(B13,1)),'Các tham số &amp; Thống kê'!$E$3:$F$5,2,FALSE)),1)</f>
        <v>7.5</v>
      </c>
      <c r="K13" s="5" t="str">
        <f>VLOOKUP(J13,'Các tham số &amp; Thống kê'!$A$3:$B$10,2,TRUE)</f>
        <v>B</v>
      </c>
    </row>
    <row r="14" hidden="1" spans="1:11">
      <c r="A14" s="3">
        <v>13</v>
      </c>
      <c r="B14" s="3" t="s">
        <v>33</v>
      </c>
      <c r="C14" s="3" t="str">
        <f>VLOOKUP(RIGHT(B14,8),'Các tham số &amp; Thống kê'!$B$14:$C$27,2,FALSE)</f>
        <v>Trần Nam Dương</v>
      </c>
      <c r="D14" s="4">
        <f>VLOOKUP(RIGHT(B14,8),'Điểm buổi thực hành các buổi'!$B$3:$F$16,3,FALSE)</f>
        <v>0.4</v>
      </c>
      <c r="E14" s="3">
        <f>VLOOKUP(RIGHT(B14,8),'Điểm buổi thực hành các buổi'!$B$3:$F$16,4,FALSE)</f>
        <v>0.4</v>
      </c>
      <c r="F14" s="3">
        <f>VLOOKUP(RIGHT(B14,8),'Điểm buổi thực hành các buổi'!$B$3:$F$16,5,FALSE)</f>
        <v>0.35</v>
      </c>
      <c r="G14" s="3">
        <f>VLOOKUP(RIGHT(B14,8),'Điểm bài tập lớn'!$B$3:$D$16,3,FALSE)</f>
        <v>1.35</v>
      </c>
      <c r="H14" s="3">
        <f>VLOOKUP(RIGHT(B14,8),'Điểm lý thuyết'!$B$3:$D$16,3,FALSE)</f>
        <v>-3</v>
      </c>
      <c r="I14" s="3">
        <f t="shared" si="0"/>
        <v>0</v>
      </c>
      <c r="J14" s="5">
        <f>ROUND(IF(OR(G14=0,VALUE(LEFT(B14,1))&gt;2),0,I14+VLOOKUP(VALUE(LEFT(B14,1)),'Các tham số &amp; Thống kê'!$E$3:$F$5,2,FALSE)),1)</f>
        <v>0</v>
      </c>
      <c r="K14" s="5" t="str">
        <f>VLOOKUP(J14,'Các tham số &amp; Thống kê'!$A$3:$B$10,2,TRUE)</f>
        <v>F</v>
      </c>
    </row>
    <row r="15" hidden="1" spans="1:11">
      <c r="A15" s="3">
        <v>14</v>
      </c>
      <c r="B15" s="3" t="s">
        <v>34</v>
      </c>
      <c r="C15" s="3" t="str">
        <f>VLOOKUP(RIGHT(B15,8),'Các tham số &amp; Thống kê'!$B$14:$C$27,2,FALSE)</f>
        <v>Nguyễn Duy Khanh</v>
      </c>
      <c r="D15" s="4">
        <f>VLOOKUP(RIGHT(B15,8),'Điểm buổi thực hành các buổi'!$B$3:$F$16,3,FALSE)</f>
        <v>0.35</v>
      </c>
      <c r="E15" s="3">
        <f>VLOOKUP(RIGHT(B15,8),'Điểm buổi thực hành các buổi'!$B$3:$F$16,4,FALSE)</f>
        <v>0.4</v>
      </c>
      <c r="F15" s="3">
        <f>VLOOKUP(RIGHT(B15,8),'Điểm buổi thực hành các buổi'!$B$3:$F$16,5,FALSE)</f>
        <v>0</v>
      </c>
      <c r="G15" s="3">
        <f>VLOOKUP(RIGHT(B15,8),'Điểm bài tập lớn'!$B$3:$D$16,3,FALSE)</f>
        <v>0.85</v>
      </c>
      <c r="H15" s="3">
        <f>VLOOKUP(RIGHT(B15,8),'Điểm lý thuyết'!$B$3:$D$16,3,FALSE)</f>
        <v>6.5</v>
      </c>
      <c r="I15" s="3">
        <f t="shared" si="0"/>
        <v>5.5</v>
      </c>
      <c r="J15" s="5">
        <f>ROUND(IF(OR(G15=0,VALUE(LEFT(B15,1))&gt;2),0,I15+VLOOKUP(VALUE(LEFT(B15,1)),'Các tham số &amp; Thống kê'!$E$3:$F$5,2,FALSE)),1)</f>
        <v>6.5</v>
      </c>
      <c r="K15" s="5" t="str">
        <f>VLOOKUP(J15,'Các tham số &amp; Thống kê'!$A$3:$B$10,2,TRUE)</f>
        <v>C+</v>
      </c>
    </row>
  </sheetData>
  <autoFilter xmlns:etc="http://www.wps.cn/officeDocument/2017/etCustomData" ref="A1:K15" etc:filterBottomFollowUsedRange="0">
    <filterColumn colId="9">
      <filters>
        <filter val="8.1"/>
        <filter val="7.5"/>
        <filter val="7"/>
      </filters>
    </filterColumn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5"/>
  <sheetViews>
    <sheetView workbookViewId="0">
      <selection activeCell="L22" sqref="L22"/>
    </sheetView>
  </sheetViews>
  <sheetFormatPr defaultColWidth="9" defaultRowHeight="13.8"/>
  <cols>
    <col min="2" max="2" width="11.5" customWidth="1"/>
    <col min="3" max="3" width="19.4" customWidth="1"/>
    <col min="4" max="4" width="11.8" customWidth="1"/>
    <col min="5" max="5" width="12" customWidth="1"/>
    <col min="6" max="6" width="11.7" customWidth="1"/>
  </cols>
  <sheetData>
    <row r="1" ht="69" spans="1:11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s="3">
        <v>1</v>
      </c>
      <c r="B2" s="3" t="s">
        <v>21</v>
      </c>
      <c r="C2" s="3" t="str">
        <f>VLOOKUP(RIGHT(B2,8),'Các tham số &amp; Thống kê'!$B$14:$C$27,2,FALSE)</f>
        <v>Nguyễn Văn Hiếu</v>
      </c>
      <c r="D2" s="4">
        <f>VLOOKUP(RIGHT(B2,8),'Điểm buổi thực hành các buổi'!$B$3:$F$16,3,FALSE)</f>
        <v>0.45</v>
      </c>
      <c r="E2" s="3">
        <f>VLOOKUP(RIGHT(B2,8),'Điểm buổi thực hành các buổi'!$B$3:$F$16,4,FALSE)</f>
        <v>0.25</v>
      </c>
      <c r="F2" s="3">
        <f>VLOOKUP(RIGHT(B2,8),'Điểm buổi thực hành các buổi'!$B$3:$F$16,5,FALSE)</f>
        <v>0.3</v>
      </c>
      <c r="G2" s="3">
        <f>VLOOKUP(RIGHT(B2,8),'Điểm bài tập lớn'!$B$3:$D$16,3,FALSE)</f>
        <v>0.5</v>
      </c>
      <c r="H2" s="3">
        <f>VLOOKUP(RIGHT(B2,8),'Điểm lý thuyết'!$B$3:$D$16,3,FALSE)</f>
        <v>4.2</v>
      </c>
      <c r="I2" s="3">
        <f t="shared" ref="I2:I15" si="0">ROUND(IF(H2=-3,0,D2+E2+F2+G2+0.6*H2),1)</f>
        <v>4</v>
      </c>
      <c r="J2" s="5">
        <f>ROUND(IF(OR(G2=0,VALUE(LEFT(B2,1))&gt;2),0,I2+VLOOKUP(VALUE(LEFT(B2,1)),'Các tham số &amp; Thống kê'!$E$3:$F$5,2,FALSE)),1)</f>
        <v>5</v>
      </c>
      <c r="K2" s="5" t="str">
        <f>VLOOKUP(J2,'Các tham số &amp; Thống kê'!$A$3:$B$10,2,TRUE)</f>
        <v>D+</v>
      </c>
    </row>
    <row r="3" spans="1:11">
      <c r="A3" s="3">
        <v>2</v>
      </c>
      <c r="B3" s="3" t="s">
        <v>22</v>
      </c>
      <c r="C3" s="3" t="str">
        <f>VLOOKUP(RIGHT(B3,8),'Các tham số &amp; Thống kê'!$B$14:$C$27,2,FALSE)</f>
        <v>Lý Minh Trí</v>
      </c>
      <c r="D3" s="4">
        <f>VLOOKUP(RIGHT(B3,8),'Điểm buổi thực hành các buổi'!$B$3:$F$16,3,FALSE)</f>
        <v>0.5</v>
      </c>
      <c r="E3" s="3">
        <f>VLOOKUP(RIGHT(B3,8),'Điểm buổi thực hành các buổi'!$B$3:$F$16,4,FALSE)</f>
        <v>0.35</v>
      </c>
      <c r="F3" s="3">
        <f>VLOOKUP(RIGHT(B3,8),'Điểm buổi thực hành các buổi'!$B$3:$F$16,5,FALSE)</f>
        <v>0.4</v>
      </c>
      <c r="G3" s="3">
        <f>VLOOKUP(RIGHT(B3,8),'Điểm bài tập lớn'!$B$3:$D$16,3,FALSE)</f>
        <v>1</v>
      </c>
      <c r="H3" s="3">
        <f>VLOOKUP(RIGHT(B3,8),'Điểm lý thuyết'!$B$3:$D$16,3,FALSE)</f>
        <v>5.8</v>
      </c>
      <c r="I3" s="3">
        <f t="shared" si="0"/>
        <v>5.7</v>
      </c>
      <c r="J3" s="5">
        <f>ROUND(IF(OR(G3=0,VALUE(LEFT(B3,1))&gt;2),0,I3+VLOOKUP(VALUE(LEFT(B3,1)),'Các tham số &amp; Thống kê'!$E$3:$F$5,2,FALSE)),1)</f>
        <v>6.2</v>
      </c>
      <c r="K3" s="5" t="str">
        <f>VLOOKUP(J3,'Các tham số &amp; Thống kê'!$A$3:$B$10,2,TRUE)</f>
        <v>C</v>
      </c>
    </row>
    <row r="4" spans="1:11">
      <c r="A4" s="3">
        <v>3</v>
      </c>
      <c r="B4" s="3" t="s">
        <v>23</v>
      </c>
      <c r="C4" s="3" t="str">
        <f>VLOOKUP(RIGHT(B4,8),'Các tham số &amp; Thống kê'!$B$14:$C$27,2,FALSE)</f>
        <v>Nguyễn Kiều Mi</v>
      </c>
      <c r="D4" s="4">
        <f>VLOOKUP(RIGHT(B4,8),'Điểm buổi thực hành các buổi'!$B$3:$F$16,3,FALSE)</f>
        <v>0.25</v>
      </c>
      <c r="E4" s="3">
        <f>VLOOKUP(RIGHT(B4,8),'Điểm buổi thực hành các buổi'!$B$3:$F$16,4,FALSE)</f>
        <v>0.25</v>
      </c>
      <c r="F4" s="3">
        <f>VLOOKUP(RIGHT(B4,8),'Điểm buổi thực hành các buổi'!$B$3:$F$16,5,FALSE)</f>
        <v>0.3</v>
      </c>
      <c r="G4" s="3">
        <f>VLOOKUP(RIGHT(B4,8),'Điểm bài tập lớn'!$B$3:$D$16,3,FALSE)</f>
        <v>0.5</v>
      </c>
      <c r="H4" s="3">
        <f>VLOOKUP(RIGHT(B4,8),'Điểm lý thuyết'!$B$3:$D$16,3,FALSE)</f>
        <v>5.8</v>
      </c>
      <c r="I4" s="3">
        <f t="shared" si="0"/>
        <v>4.8</v>
      </c>
      <c r="J4" s="5">
        <f>ROUND(IF(OR(G4=0,VALUE(LEFT(B4,1))&gt;2),0,I4+VLOOKUP(VALUE(LEFT(B4,1)),'Các tham số &amp; Thống kê'!$E$3:$F$5,2,FALSE)),1)</f>
        <v>5.8</v>
      </c>
      <c r="K4" s="5" t="str">
        <f>VLOOKUP(J4,'Các tham số &amp; Thống kê'!$A$3:$B$10,2,TRUE)</f>
        <v>C</v>
      </c>
    </row>
    <row r="5" spans="1:11">
      <c r="A5" s="3">
        <v>4</v>
      </c>
      <c r="B5" s="3" t="s">
        <v>24</v>
      </c>
      <c r="C5" s="3" t="str">
        <f>VLOOKUP(RIGHT(B5,8),'Các tham số &amp; Thống kê'!$B$14:$C$27,2,FALSE)</f>
        <v>Đặng Duy Linh</v>
      </c>
      <c r="D5" s="4">
        <f>VLOOKUP(RIGHT(B5,8),'Điểm buổi thực hành các buổi'!$B$3:$F$16,3,FALSE)</f>
        <v>0.4</v>
      </c>
      <c r="E5" s="3">
        <f>VLOOKUP(RIGHT(B5,8),'Điểm buổi thực hành các buổi'!$B$3:$F$16,4,FALSE)</f>
        <v>0.25</v>
      </c>
      <c r="F5" s="3">
        <f>VLOOKUP(RIGHT(B5,8),'Điểm buổi thực hành các buổi'!$B$3:$F$16,5,FALSE)</f>
        <v>0.35</v>
      </c>
      <c r="G5" s="3">
        <f>VLOOKUP(RIGHT(B5,8),'Điểm bài tập lớn'!$B$3:$D$16,3,FALSE)</f>
        <v>1</v>
      </c>
      <c r="H5" s="3">
        <f>VLOOKUP(RIGHT(B5,8),'Điểm lý thuyết'!$B$3:$D$16,3,FALSE)</f>
        <v>4.5</v>
      </c>
      <c r="I5" s="3">
        <f t="shared" si="0"/>
        <v>4.7</v>
      </c>
      <c r="J5" s="5">
        <f>ROUND(IF(OR(G5=0,VALUE(LEFT(B5,1))&gt;2),0,I5+VLOOKUP(VALUE(LEFT(B5,1)),'Các tham số &amp; Thống kê'!$E$3:$F$5,2,FALSE)),1)</f>
        <v>5.7</v>
      </c>
      <c r="K5" s="5" t="str">
        <f>VLOOKUP(J5,'Các tham số &amp; Thống kê'!$A$3:$B$10,2,TRUE)</f>
        <v>C</v>
      </c>
    </row>
    <row r="6" spans="1:11">
      <c r="A6" s="3">
        <v>5</v>
      </c>
      <c r="B6" s="3" t="s">
        <v>25</v>
      </c>
      <c r="C6" s="3" t="str">
        <f>VLOOKUP(RIGHT(B6,8),'Các tham số &amp; Thống kê'!$B$14:$C$27,2,FALSE)</f>
        <v>Lê Thị Trúc Linh</v>
      </c>
      <c r="D6" s="4">
        <f>VLOOKUP(RIGHT(B6,8),'Điểm buổi thực hành các buổi'!$B$3:$F$16,3,FALSE)</f>
        <v>0.45</v>
      </c>
      <c r="E6" s="3">
        <f>VLOOKUP(RIGHT(B6,8),'Điểm buổi thực hành các buổi'!$B$3:$F$16,4,FALSE)</f>
        <v>0.4</v>
      </c>
      <c r="F6" s="3">
        <f>VLOOKUP(RIGHT(B6,8),'Điểm buổi thực hành các buổi'!$B$3:$F$16,5,FALSE)</f>
        <v>0.35</v>
      </c>
      <c r="G6" s="3">
        <f>VLOOKUP(RIGHT(B6,8),'Điểm bài tập lớn'!$B$3:$D$16,3,FALSE)</f>
        <v>0.75</v>
      </c>
      <c r="H6" s="3">
        <f>VLOOKUP(RIGHT(B6,8),'Điểm lý thuyết'!$B$3:$D$16,3,FALSE)</f>
        <v>5.5</v>
      </c>
      <c r="I6" s="3">
        <f t="shared" si="0"/>
        <v>5.3</v>
      </c>
      <c r="J6" s="5">
        <f>ROUND(IF(OR(G6=0,VALUE(LEFT(B6,1))&gt;2),0,I6+VLOOKUP(VALUE(LEFT(B6,1)),'Các tham số &amp; Thống kê'!$E$3:$F$5,2,FALSE)),1)</f>
        <v>5.6</v>
      </c>
      <c r="K6" s="5" t="str">
        <f>VLOOKUP(J6,'Các tham số &amp; Thống kê'!$A$3:$B$10,2,TRUE)</f>
        <v>C</v>
      </c>
    </row>
    <row r="7" hidden="1" spans="1:11">
      <c r="A7" s="3">
        <v>6</v>
      </c>
      <c r="B7" s="3" t="s">
        <v>26</v>
      </c>
      <c r="C7" s="3" t="str">
        <f>VLOOKUP(RIGHT(B7,8),'Các tham số &amp; Thống kê'!$B$14:$C$27,2,FALSE)</f>
        <v>Phạm Thị Huỳnh</v>
      </c>
      <c r="D7" s="4">
        <f>VLOOKUP(RIGHT(B7,8),'Điểm buổi thực hành các buổi'!$B$3:$F$16,3,FALSE)</f>
        <v>0.4</v>
      </c>
      <c r="E7" s="3">
        <f>VLOOKUP(RIGHT(B7,8),'Điểm buổi thực hành các buổi'!$B$3:$F$16,4,FALSE)</f>
        <v>0.45</v>
      </c>
      <c r="F7" s="3">
        <f>VLOOKUP(RIGHT(B7,8),'Điểm buổi thực hành các buổi'!$B$3:$F$16,5,FALSE)</f>
        <v>0.5</v>
      </c>
      <c r="G7" s="3">
        <f>VLOOKUP(RIGHT(B7,8),'Điểm bài tập lớn'!$B$3:$D$16,3,FALSE)</f>
        <v>1.2</v>
      </c>
      <c r="H7" s="3">
        <f>VLOOKUP(RIGHT(B7,8),'Điểm lý thuyết'!$B$3:$D$16,3,FALSE)</f>
        <v>7.5</v>
      </c>
      <c r="I7" s="3">
        <f t="shared" si="0"/>
        <v>7.1</v>
      </c>
      <c r="J7" s="5">
        <f>ROUND(IF(OR(G7=0,VALUE(LEFT(B7,1))&gt;2),0,I7+VLOOKUP(VALUE(LEFT(B7,1)),'Các tham số &amp; Thống kê'!$E$3:$F$5,2,FALSE)),1)</f>
        <v>8.1</v>
      </c>
      <c r="K7" s="5" t="str">
        <f>VLOOKUP(J7,'Các tham số &amp; Thống kê'!$A$3:$B$10,2,TRUE)</f>
        <v>B+</v>
      </c>
    </row>
    <row r="8" spans="1:11">
      <c r="A8" s="3">
        <v>7</v>
      </c>
      <c r="B8" s="3" t="s">
        <v>27</v>
      </c>
      <c r="C8" s="3" t="str">
        <f>VLOOKUP(RIGHT(B8,8),'Các tham số &amp; Thống kê'!$B$14:$C$27,2,FALSE)</f>
        <v>Lê Minh Thông</v>
      </c>
      <c r="D8" s="4">
        <f>VLOOKUP(RIGHT(B8,8),'Điểm buổi thực hành các buổi'!$B$3:$F$16,3,FALSE)</f>
        <v>0.4</v>
      </c>
      <c r="E8" s="3">
        <f>VLOOKUP(RIGHT(B8,8),'Điểm buổi thực hành các buổi'!$B$3:$F$16,4,FALSE)</f>
        <v>0.4</v>
      </c>
      <c r="F8" s="3">
        <f>VLOOKUP(RIGHT(B8,8),'Điểm buổi thực hành các buổi'!$B$3:$F$16,5,FALSE)</f>
        <v>0.4</v>
      </c>
      <c r="G8" s="3">
        <f>VLOOKUP(RIGHT(B8,8),'Điểm bài tập lớn'!$B$3:$D$16,3,FALSE)</f>
        <v>1</v>
      </c>
      <c r="H8" s="3">
        <f>VLOOKUP(RIGHT(B8,8),'Điểm lý thuyết'!$B$3:$D$16,3,FALSE)</f>
        <v>5.3</v>
      </c>
      <c r="I8" s="3">
        <f t="shared" si="0"/>
        <v>5.4</v>
      </c>
      <c r="J8" s="5">
        <f>ROUND(IF(OR(G8=0,VALUE(LEFT(B8,1))&gt;2),0,I8+VLOOKUP(VALUE(LEFT(B8,1)),'Các tham số &amp; Thống kê'!$E$3:$F$5,2,FALSE)),1)</f>
        <v>6.4</v>
      </c>
      <c r="K8" s="5" t="str">
        <f>VLOOKUP(J8,'Các tham số &amp; Thống kê'!$A$3:$B$10,2,TRUE)</f>
        <v>C</v>
      </c>
    </row>
    <row r="9" spans="1:11">
      <c r="A9" s="3">
        <v>8</v>
      </c>
      <c r="B9" s="3" t="s">
        <v>28</v>
      </c>
      <c r="C9" s="3" t="str">
        <f>VLOOKUP(RIGHT(B9,8),'Các tham số &amp; Thống kê'!$B$14:$C$27,2,FALSE)</f>
        <v>Huỳnh Thị Diễm</v>
      </c>
      <c r="D9" s="4">
        <f>VLOOKUP(RIGHT(B9,8),'Điểm buổi thực hành các buổi'!$B$3:$F$16,3,FALSE)</f>
        <v>0.4</v>
      </c>
      <c r="E9" s="3">
        <f>VLOOKUP(RIGHT(B9,8),'Điểm buổi thực hành các buổi'!$B$3:$F$16,4,FALSE)</f>
        <v>0.45</v>
      </c>
      <c r="F9" s="3">
        <f>VLOOKUP(RIGHT(B9,8),'Điểm buổi thực hành các buổi'!$B$3:$F$16,5,FALSE)</f>
        <v>0.4</v>
      </c>
      <c r="G9" s="3">
        <f>VLOOKUP(RIGHT(B9,8),'Điểm bài tập lớn'!$B$3:$D$16,3,FALSE)</f>
        <v>0</v>
      </c>
      <c r="H9" s="3">
        <f>VLOOKUP(RIGHT(B9,8),'Điểm lý thuyết'!$B$3:$D$16,3,FALSE)</f>
        <v>6.8</v>
      </c>
      <c r="I9" s="3">
        <f t="shared" si="0"/>
        <v>5.3</v>
      </c>
      <c r="J9" s="5">
        <f>ROUND(IF(OR(G9=0,VALUE(LEFT(B9,1))&gt;2),0,I9+VLOOKUP(VALUE(LEFT(B9,1)),'Các tham số &amp; Thống kê'!$E$3:$F$5,2,FALSE)),1)</f>
        <v>0</v>
      </c>
      <c r="K9" s="5" t="str">
        <f>VLOOKUP(J9,'Các tham số &amp; Thống kê'!$A$3:$B$10,2,TRUE)</f>
        <v>F</v>
      </c>
    </row>
    <row r="10" spans="1:11">
      <c r="A10" s="3">
        <v>9</v>
      </c>
      <c r="B10" s="3" t="s">
        <v>29</v>
      </c>
      <c r="C10" s="3" t="str">
        <f>VLOOKUP(RIGHT(B10,8),'Các tham số &amp; Thống kê'!$B$14:$C$27,2,FALSE)</f>
        <v>Trần Thanh Nguyên</v>
      </c>
      <c r="D10" s="4">
        <f>VLOOKUP(RIGHT(B10,8),'Điểm buổi thực hành các buổi'!$B$3:$F$16,3,FALSE)</f>
        <v>0.45</v>
      </c>
      <c r="E10" s="3">
        <f>VLOOKUP(RIGHT(B10,8),'Điểm buổi thực hành các buổi'!$B$3:$F$16,4,FALSE)</f>
        <v>0.4</v>
      </c>
      <c r="F10" s="3">
        <f>VLOOKUP(RIGHT(B10,8),'Điểm buổi thực hành các buổi'!$B$3:$F$16,5,FALSE)</f>
        <v>0.4</v>
      </c>
      <c r="G10" s="3">
        <f>VLOOKUP(RIGHT(B10,8),'Điểm bài tập lớn'!$B$3:$D$16,3,FALSE)</f>
        <v>0.75</v>
      </c>
      <c r="H10" s="3">
        <f>VLOOKUP(RIGHT(B10,8),'Điểm lý thuyết'!$B$3:$D$16,3,FALSE)</f>
        <v>6.3</v>
      </c>
      <c r="I10" s="3">
        <f t="shared" si="0"/>
        <v>5.8</v>
      </c>
      <c r="J10" s="5">
        <f>ROUND(IF(OR(G10=0,VALUE(LEFT(B10,1))&gt;2),0,I10+VLOOKUP(VALUE(LEFT(B10,1)),'Các tham số &amp; Thống kê'!$E$3:$F$5,2,FALSE)),1)</f>
        <v>6.8</v>
      </c>
      <c r="K10" s="5" t="str">
        <f>VLOOKUP(J10,'Các tham số &amp; Thống kê'!$A$3:$B$10,2,TRUE)</f>
        <v>C+</v>
      </c>
    </row>
    <row r="11" hidden="1" spans="1:11">
      <c r="A11" s="3">
        <v>10</v>
      </c>
      <c r="B11" s="3" t="s">
        <v>30</v>
      </c>
      <c r="C11" s="3" t="str">
        <f>VLOOKUP(RIGHT(B11,8),'Các tham số &amp; Thống kê'!$B$14:$C$27,2,FALSE)</f>
        <v>Nguyễn Thị Đào</v>
      </c>
      <c r="D11" s="4">
        <f>VLOOKUP(RIGHT(B11,8),'Điểm buổi thực hành các buổi'!$B$3:$F$16,3,FALSE)</f>
        <v>0.3</v>
      </c>
      <c r="E11" s="3">
        <f>VLOOKUP(RIGHT(B11,8),'Điểm buổi thực hành các buổi'!$B$3:$F$16,4,FALSE)</f>
        <v>0.5</v>
      </c>
      <c r="F11" s="3">
        <f>VLOOKUP(RIGHT(B11,8),'Điểm buổi thực hành các buổi'!$B$3:$F$16,5,FALSE)</f>
        <v>0.45</v>
      </c>
      <c r="G11" s="3">
        <f>VLOOKUP(RIGHT(B11,8),'Điểm bài tập lớn'!$B$3:$D$16,3,FALSE)</f>
        <v>0.3</v>
      </c>
      <c r="H11" s="3">
        <f>VLOOKUP(RIGHT(B11,8),'Điểm lý thuyết'!$B$3:$D$16,3,FALSE)</f>
        <v>8.3</v>
      </c>
      <c r="I11" s="3">
        <f t="shared" si="0"/>
        <v>6.5</v>
      </c>
      <c r="J11" s="5">
        <f>ROUND(IF(OR(G11=0,VALUE(LEFT(B11,1))&gt;2),0,I11+VLOOKUP(VALUE(LEFT(B11,1)),'Các tham số &amp; Thống kê'!$E$3:$F$5,2,FALSE)),1)</f>
        <v>7</v>
      </c>
      <c r="K11" s="5" t="str">
        <f>VLOOKUP(J11,'Các tham số &amp; Thống kê'!$A$3:$B$10,2,TRUE)</f>
        <v>B</v>
      </c>
    </row>
    <row r="12" spans="1:11">
      <c r="A12" s="3">
        <v>11</v>
      </c>
      <c r="B12" s="3" t="s">
        <v>31</v>
      </c>
      <c r="C12" s="3" t="str">
        <f>VLOOKUP(RIGHT(B12,8),'Các tham số &amp; Thống kê'!$B$14:$C$27,2,FALSE)</f>
        <v>Nguyễn Chí Thanh</v>
      </c>
      <c r="D12" s="4">
        <f>VLOOKUP(RIGHT(B12,8),'Điểm buổi thực hành các buổi'!$B$3:$F$16,3,FALSE)</f>
        <v>0.4</v>
      </c>
      <c r="E12" s="3">
        <f>VLOOKUP(RIGHT(B12,8),'Điểm buổi thực hành các buổi'!$B$3:$F$16,4,FALSE)</f>
        <v>0.45</v>
      </c>
      <c r="F12" s="3">
        <f>VLOOKUP(RIGHT(B12,8),'Điểm buổi thực hành các buổi'!$B$3:$F$16,5,FALSE)</f>
        <v>0.4</v>
      </c>
      <c r="G12" s="3">
        <f>VLOOKUP(RIGHT(B12,8),'Điểm bài tập lớn'!$B$3:$D$16,3,FALSE)</f>
        <v>0.3</v>
      </c>
      <c r="H12" s="3">
        <f>VLOOKUP(RIGHT(B12,8),'Điểm lý thuyết'!$B$3:$D$16,3,FALSE)</f>
        <v>-3</v>
      </c>
      <c r="I12" s="3">
        <f t="shared" si="0"/>
        <v>0</v>
      </c>
      <c r="J12" s="5">
        <f>ROUND(IF(OR(G12=0,VALUE(LEFT(B12,1))&gt;2),0,I12+VLOOKUP(VALUE(LEFT(B12,1)),'Các tham số &amp; Thống kê'!$E$3:$F$5,2,FALSE)),1)</f>
        <v>0</v>
      </c>
      <c r="K12" s="5" t="str">
        <f>VLOOKUP(J12,'Các tham số &amp; Thống kê'!$A$3:$B$10,2,TRUE)</f>
        <v>F</v>
      </c>
    </row>
    <row r="13" hidden="1" spans="1:11">
      <c r="A13" s="3">
        <v>12</v>
      </c>
      <c r="B13" s="3" t="s">
        <v>32</v>
      </c>
      <c r="C13" s="3" t="str">
        <f>VLOOKUP(RIGHT(B13,8),'Các tham số &amp; Thống kê'!$B$14:$C$27,2,FALSE)</f>
        <v>Nguyễn Hải Anh</v>
      </c>
      <c r="D13" s="4">
        <f>VLOOKUP(RIGHT(B13,8),'Điểm buổi thực hành các buổi'!$B$3:$F$16,3,FALSE)</f>
        <v>0.5</v>
      </c>
      <c r="E13" s="3">
        <f>VLOOKUP(RIGHT(B13,8),'Điểm buổi thực hành các buổi'!$B$3:$F$16,4,FALSE)</f>
        <v>0.5</v>
      </c>
      <c r="F13" s="3">
        <f>VLOOKUP(RIGHT(B13,8),'Điểm buổi thực hành các buổi'!$B$3:$F$16,5,FALSE)</f>
        <v>0.45</v>
      </c>
      <c r="G13" s="3">
        <f>VLOOKUP(RIGHT(B13,8),'Điểm bài tập lớn'!$B$3:$D$16,3,FALSE)</f>
        <v>1.5</v>
      </c>
      <c r="H13" s="3">
        <f>VLOOKUP(RIGHT(B13,8),'Điểm lý thuyết'!$B$3:$D$16,3,FALSE)</f>
        <v>7</v>
      </c>
      <c r="I13" s="3">
        <f t="shared" si="0"/>
        <v>7.2</v>
      </c>
      <c r="J13" s="5">
        <f>ROUND(IF(OR(G13=0,VALUE(LEFT(B13,1))&gt;2),0,I13+VLOOKUP(VALUE(LEFT(B13,1)),'Các tham số &amp; Thống kê'!$E$3:$F$5,2,FALSE)),1)</f>
        <v>7.5</v>
      </c>
      <c r="K13" s="5" t="str">
        <f>VLOOKUP(J13,'Các tham số &amp; Thống kê'!$A$3:$B$10,2,TRUE)</f>
        <v>B</v>
      </c>
    </row>
    <row r="14" spans="1:11">
      <c r="A14" s="3">
        <v>13</v>
      </c>
      <c r="B14" s="3" t="s">
        <v>33</v>
      </c>
      <c r="C14" s="3" t="str">
        <f>VLOOKUP(RIGHT(B14,8),'Các tham số &amp; Thống kê'!$B$14:$C$27,2,FALSE)</f>
        <v>Trần Nam Dương</v>
      </c>
      <c r="D14" s="4">
        <f>VLOOKUP(RIGHT(B14,8),'Điểm buổi thực hành các buổi'!$B$3:$F$16,3,FALSE)</f>
        <v>0.4</v>
      </c>
      <c r="E14" s="3">
        <f>VLOOKUP(RIGHT(B14,8),'Điểm buổi thực hành các buổi'!$B$3:$F$16,4,FALSE)</f>
        <v>0.4</v>
      </c>
      <c r="F14" s="3">
        <f>VLOOKUP(RIGHT(B14,8),'Điểm buổi thực hành các buổi'!$B$3:$F$16,5,FALSE)</f>
        <v>0.35</v>
      </c>
      <c r="G14" s="3">
        <f>VLOOKUP(RIGHT(B14,8),'Điểm bài tập lớn'!$B$3:$D$16,3,FALSE)</f>
        <v>1.35</v>
      </c>
      <c r="H14" s="3">
        <f>VLOOKUP(RIGHT(B14,8),'Điểm lý thuyết'!$B$3:$D$16,3,FALSE)</f>
        <v>-3</v>
      </c>
      <c r="I14" s="3">
        <f t="shared" si="0"/>
        <v>0</v>
      </c>
      <c r="J14" s="5">
        <f>ROUND(IF(OR(G14=0,VALUE(LEFT(B14,1))&gt;2),0,I14+VLOOKUP(VALUE(LEFT(B14,1)),'Các tham số &amp; Thống kê'!$E$3:$F$5,2,FALSE)),1)</f>
        <v>0</v>
      </c>
      <c r="K14" s="5" t="str">
        <f>VLOOKUP(J14,'Các tham số &amp; Thống kê'!$A$3:$B$10,2,TRUE)</f>
        <v>F</v>
      </c>
    </row>
    <row r="15" spans="1:11">
      <c r="A15" s="3">
        <v>14</v>
      </c>
      <c r="B15" s="3" t="s">
        <v>34</v>
      </c>
      <c r="C15" s="3" t="str">
        <f>VLOOKUP(RIGHT(B15,8),'Các tham số &amp; Thống kê'!$B$14:$C$27,2,FALSE)</f>
        <v>Nguyễn Duy Khanh</v>
      </c>
      <c r="D15" s="4">
        <f>VLOOKUP(RIGHT(B15,8),'Điểm buổi thực hành các buổi'!$B$3:$F$16,3,FALSE)</f>
        <v>0.35</v>
      </c>
      <c r="E15" s="3">
        <f>VLOOKUP(RIGHT(B15,8),'Điểm buổi thực hành các buổi'!$B$3:$F$16,4,FALSE)</f>
        <v>0.4</v>
      </c>
      <c r="F15" s="3">
        <f>VLOOKUP(RIGHT(B15,8),'Điểm buổi thực hành các buổi'!$B$3:$F$16,5,FALSE)</f>
        <v>0</v>
      </c>
      <c r="G15" s="3">
        <f>VLOOKUP(RIGHT(B15,8),'Điểm bài tập lớn'!$B$3:$D$16,3,FALSE)</f>
        <v>0.85</v>
      </c>
      <c r="H15" s="3">
        <f>VLOOKUP(RIGHT(B15,8),'Điểm lý thuyết'!$B$3:$D$16,3,FALSE)</f>
        <v>6.5</v>
      </c>
      <c r="I15" s="3">
        <f t="shared" si="0"/>
        <v>5.5</v>
      </c>
      <c r="J15" s="5">
        <f>ROUND(IF(OR(G15=0,VALUE(LEFT(B15,1))&gt;2),0,I15+VLOOKUP(VALUE(LEFT(B15,1)),'Các tham số &amp; Thống kê'!$E$3:$F$5,2,FALSE)),1)</f>
        <v>6.5</v>
      </c>
      <c r="K15" s="5" t="str">
        <f>VLOOKUP(J15,'Các tham số &amp; Thống kê'!$A$3:$B$10,2,TRUE)</f>
        <v>C+</v>
      </c>
    </row>
  </sheetData>
  <autoFilter xmlns:etc="http://www.wps.cn/officeDocument/2017/etCustomData" ref="A1:K15" etc:filterBottomFollowUsedRange="0">
    <filterColumn colId="9">
      <filters>
        <filter val="0"/>
        <filter val="6.2"/>
        <filter val="6.4"/>
        <filter val="5"/>
        <filter val="6.5"/>
        <filter val="5.6"/>
        <filter val="5.7"/>
        <filter val="5.8"/>
        <filter val="6.8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Tổng hợp điểm</vt:lpstr>
      <vt:lpstr>Điểm buổi thực hành các buổi</vt:lpstr>
      <vt:lpstr>Điểm bài tập lớn</vt:lpstr>
      <vt:lpstr>Điểm lý thuyết</vt:lpstr>
      <vt:lpstr>Các tham số &amp; Thống kê</vt:lpstr>
      <vt:lpstr>Sinh viên điểm &lt;7</vt:lpstr>
      <vt:lpstr>Sinh viên điểm &gt;7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luugiatruyen782008@gmail.com</dc:creator>
  <cp:lastModifiedBy>Truyen</cp:lastModifiedBy>
  <dcterms:created xsi:type="dcterms:W3CDTF">2026-10-02T02:05:00Z</dcterms:created>
  <dcterms:modified xsi:type="dcterms:W3CDTF">2026-10-02T10:55:47Z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BAC3AA27FC6848C3B4CEC6D165BA525C_12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